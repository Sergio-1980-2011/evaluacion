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ciones" sheetId="1" state="visible" r:id="rId3"/>
    <sheet name="Resumen" sheetId="2" state="visible" r:id="rId4"/>
    <sheet name="Asistencia" sheetId="3" state="visible" r:id="rId5"/>
    <sheet name="Seminarios" sheetId="4" state="visible" r:id="rId6"/>
    <sheet name="Desempeno" sheetId="5" state="visible" r:id="rId7"/>
    <sheet name="Bitacora" sheetId="6" state="visible" r:id="rId8"/>
    <sheet name="Feedback" sheetId="7" state="visible" r:id="rId9"/>
    <sheet name="Rubrica_Seminario" sheetId="8" state="visible" r:id="rId10"/>
    <sheet name="Rubrica_Desempeno" sheetId="9" state="visible" r:id="rId11"/>
    <sheet name="Escala_Notas" sheetId="10" state="visible" r:id="rId12"/>
    <sheet name="Parametro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Ejemplo de formato: reemplazar por el nombre del residente.</t>
        </r>
      </text>
    </comment>
  </commentList>
</comments>
</file>

<file path=xl/sharedStrings.xml><?xml version="1.0" encoding="utf-8"?>
<sst xmlns="http://schemas.openxmlformats.org/spreadsheetml/2006/main" count="354" uniqueCount="275">
  <si>
    <t xml:space="preserve">Planilla de evaluación – Rotación de Prehabilitación Quirúrgica</t>
  </si>
  <si>
    <t xml:space="preserve">Residente de Anestesiología · Servicio de Kinesiología · Noviembre 2026</t>
  </si>
  <si>
    <t xml:space="preserve">Cómo usar</t>
  </si>
  <si>
    <t xml:space="preserve">1. Resumen</t>
  </si>
  <si>
    <t xml:space="preserve">Completar los datos del residente y docentes. La nota final y el estado de aprobación se calculan solos.</t>
  </si>
  <si>
    <t xml:space="preserve">2. Asistencia</t>
  </si>
  <si>
    <t xml:space="preserve">Marcar cada día: P = presente, A = ausente, J = ausencia justificada, R = día recuperado. Asistencia = (P + R) / días programados.</t>
  </si>
  <si>
    <t xml:space="preserve">3. Seminarios</t>
  </si>
  <si>
    <t xml:space="preserve">Puntuar de 0 a 4 cada criterio de los 4 seminarios (descriptores en la hoja «Rubrica_Seminario»). La nota aparece cuando los 8 criterios tienen puntaje.</t>
  </si>
  <si>
    <t xml:space="preserve">4. Desempeño</t>
  </si>
  <si>
    <t xml:space="preserve">Puntuar de 0 a 4 cada criterio (descriptores en «Rubrica_Desempeno»). La columna «Mitad de rotación» es formativa y NO entra en la nota; sólo cuenta la columna «Final».</t>
  </si>
  <si>
    <t xml:space="preserve">5. Bitácora</t>
  </si>
  <si>
    <t xml:space="preserve">Registrar la entrega semanal en Canvas y un comentario breve del docente.</t>
  </si>
  <si>
    <t xml:space="preserve">6. Feedback</t>
  </si>
  <si>
    <t xml:space="preserve">Registrar cada sesión de feedback: autoevaluación, fortalezas, aspectos a mejorar y plan de acción.</t>
  </si>
  <si>
    <t xml:space="preserve">7. Escala_Notas</t>
  </si>
  <si>
    <t xml:space="preserve">Tabla de conversión % de logro → nota, calculada con el % de exigencia de «Parametros».</t>
  </si>
  <si>
    <t xml:space="preserve">Código de colores</t>
  </si>
  <si>
    <t xml:space="preserve">Celda amarilla, texto azul</t>
  </si>
  <si>
    <t xml:space="preserve">Dato que se debe ingresar.</t>
  </si>
  <si>
    <t xml:space="preserve">Texto negro, sin relleno</t>
  </si>
  <si>
    <t xml:space="preserve">Fórmula: no modificar.</t>
  </si>
  <si>
    <t xml:space="preserve">Verde / rojo</t>
  </si>
  <si>
    <t xml:space="preserve">Formato condicional: cumple / no cumple un requisito de aprobación.</t>
  </si>
  <si>
    <t xml:space="preserve">Cálculo de la nota</t>
  </si>
  <si>
    <t xml:space="preserve">% de logro</t>
  </si>
  <si>
    <t xml:space="preserve">Σ (ponderación del criterio × puntaje / 4). Los pesos de cada criterio suman 100 %.</t>
  </si>
  <si>
    <t xml:space="preserve">Nota</t>
  </si>
  <si>
    <t xml:space="preserve">Si % &lt; exigencia: nota = 1 + 3 × %/exigencia. Si % ≥ exigencia: nota = 4 + 3 × (% − exigencia)/(1 − exigencia). Se redondea a 1 decimal.</t>
  </si>
  <si>
    <t xml:space="preserve">Nota final</t>
  </si>
  <si>
    <t xml:space="preserve">50 % promedio de seminarios + 50 % evaluación global final (redondeada a 1 decimal).</t>
  </si>
  <si>
    <t xml:space="preserve">Aprobación</t>
  </si>
  <si>
    <t xml:space="preserve">Asistencia ≥ 90 %  ·  Nota final ≥ 5,0  ·  Nota de seminarios ≥ 5,0. Los tres requisitos son obligatorios.</t>
  </si>
  <si>
    <t xml:space="preserve">Ejemplo de cálculo</t>
  </si>
  <si>
    <t xml:space="preserve">Criterio (pauta seminario)</t>
  </si>
  <si>
    <t xml:space="preserve">Puntaje de ejemplo (0–4)</t>
  </si>
  <si>
    <t xml:space="preserve">Peso</t>
  </si>
  <si>
    <t xml:space="preserve">Dominio conceptual y precisión científica</t>
  </si>
  <si>
    <t xml:space="preserve">Estructura, organización y objetivos</t>
  </si>
  <si>
    <t xml:space="preserve">Búsqueda y calidad de la bibliografía</t>
  </si>
  <si>
    <t xml:space="preserve">Análisis crítico de la evidencia</t>
  </si>
  <si>
    <t xml:space="preserve">Aplicación clínica e integración perioperatoria (caso clínico)</t>
  </si>
  <si>
    <t xml:space="preserve">Material de apoyo audiovisual</t>
  </si>
  <si>
    <t xml:space="preserve">Comunicación oral y manejo del tiempo</t>
  </si>
  <si>
    <t xml:space="preserve">Respuesta a preguntas y conducción de la discusión</t>
  </si>
  <si>
    <t xml:space="preserve">Resumen y nota final de la rotación</t>
  </si>
  <si>
    <t xml:space="preserve">Identificación</t>
  </si>
  <si>
    <t xml:space="preserve">Dato</t>
  </si>
  <si>
    <t xml:space="preserve">Residente</t>
  </si>
  <si>
    <t xml:space="preserve">Nombre Apellido</t>
  </si>
  <si>
    <t xml:space="preserve">RUT</t>
  </si>
  <si>
    <t xml:space="preserve">Programa</t>
  </si>
  <si>
    <t xml:space="preserve">Anestesiología y Reanimación</t>
  </si>
  <si>
    <t xml:space="preserve">Docente guía</t>
  </si>
  <si>
    <t xml:space="preserve">Kinesiólogo(a) supervisor(a)</t>
  </si>
  <si>
    <t xml:space="preserve">Período</t>
  </si>
  <si>
    <t xml:space="preserve">02-11-2026 al 30-11-2026</t>
  </si>
  <si>
    <t xml:space="preserve">Componente</t>
  </si>
  <si>
    <t xml:space="preserve">Resultado</t>
  </si>
  <si>
    <t xml:space="preserve">Ponderación</t>
  </si>
  <si>
    <t xml:space="preserve">Nota Seminarios (promedio de 4)</t>
  </si>
  <si>
    <t xml:space="preserve">Nota Desempeño (Pauta global final)</t>
  </si>
  <si>
    <t xml:space="preserve">NOTA FINAL DE LA ROTACIÓN</t>
  </si>
  <si>
    <t xml:space="preserve">Asistencia</t>
  </si>
  <si>
    <t xml:space="preserve">Requisito de aprobación</t>
  </si>
  <si>
    <t xml:space="preserve">Exigido</t>
  </si>
  <si>
    <t xml:space="preserve">¿Cumple?</t>
  </si>
  <si>
    <t xml:space="preserve">1. Asistencia mínima</t>
  </si>
  <si>
    <t xml:space="preserve">2. Nota final de la rotación</t>
  </si>
  <si>
    <t xml:space="preserve">3. Nota en el área de Seminarios</t>
  </si>
  <si>
    <t xml:space="preserve">ESTADO DE LA ROTACIÓN</t>
  </si>
  <si>
    <t xml:space="preserve">Observaciones finales del docente guía</t>
  </si>
  <si>
    <t xml:space="preserve">Firma docente guía:</t>
  </si>
  <si>
    <t xml:space="preserve">Firma residente:</t>
  </si>
  <si>
    <t xml:space="preserve">Fecha:</t>
  </si>
  <si>
    <t xml:space="preserve">Registro de asistencia</t>
  </si>
  <si>
    <t xml:space="preserve">P = presente · A = ausente · J = ausencia justificada · R = día recuperado</t>
  </si>
  <si>
    <t xml:space="preserve">Fecha</t>
  </si>
  <si>
    <t xml:space="preserve">Día</t>
  </si>
  <si>
    <t xml:space="preserve">Estado</t>
  </si>
  <si>
    <t xml:space="preserve">Actividad / observación</t>
  </si>
  <si>
    <t xml:space="preserve">lunes</t>
  </si>
  <si>
    <t xml:space="preserve">martes</t>
  </si>
  <si>
    <t xml:space="preserve">miércoles</t>
  </si>
  <si>
    <t xml:space="preserve">jueves</t>
  </si>
  <si>
    <t xml:space="preserve">viernes</t>
  </si>
  <si>
    <t xml:space="preserve">Seminario</t>
  </si>
  <si>
    <t xml:space="preserve">Cierre: evaluación final y feedback</t>
  </si>
  <si>
    <t xml:space="preserve">Días programados</t>
  </si>
  <si>
    <t xml:space="preserve">Días asistidos (P + R)</t>
  </si>
  <si>
    <t xml:space="preserve">Días registrados</t>
  </si>
  <si>
    <t xml:space="preserve">% Asistencia</t>
  </si>
  <si>
    <t xml:space="preserve">Se calcula sobre el total de días programados; las ausencias justificadas no recuperadas cuentan como inasistencia.</t>
  </si>
  <si>
    <t xml:space="preserve">Máximo de inasistencias permitidas</t>
  </si>
  <si>
    <t xml:space="preserve">Evaluación de seminarios – Pauta de presentación oral</t>
  </si>
  <si>
    <t xml:space="preserve">Puntaje por criterio: 4 Excelente · 3 Bueno · 2 Suficiente · 1 Insuficiente · 0 No logrado</t>
  </si>
  <si>
    <t xml:space="preserve">Tema</t>
  </si>
  <si>
    <t xml:space="preserve">Prehabilitación quirúrgica: concepto, modelo multimodal y evidencia</t>
  </si>
  <si>
    <t xml:space="preserve">Evaluación de la capacidad funcional: herramientas (TM6M, CPET y evaluación de fuerza)</t>
  </si>
  <si>
    <t xml:space="preserve">Fragilidad y sarcopenia en el paciente quirúrgico: identificación y abordaje mediante ejercicio de fuerza</t>
  </si>
  <si>
    <t xml:space="preserve">Rehabilitación respiratoria perioperatoria y movilización precoz: prevención de complicaciones pulmonares postoperatorias</t>
  </si>
  <si>
    <t xml:space="preserve">Viernes 6 de noviembre</t>
  </si>
  <si>
    <t xml:space="preserve">Viernes 13 de noviembre</t>
  </si>
  <si>
    <t xml:space="preserve">Viernes 20 de noviembre</t>
  </si>
  <si>
    <t xml:space="preserve">Viernes 27 de noviembre</t>
  </si>
  <si>
    <t xml:space="preserve">Docente evaluador</t>
  </si>
  <si>
    <t xml:space="preserve">N°</t>
  </si>
  <si>
    <t xml:space="preserve">Criterio</t>
  </si>
  <si>
    <t xml:space="preserve">Seminario 1</t>
  </si>
  <si>
    <t xml:space="preserve">Seminario 2</t>
  </si>
  <si>
    <t xml:space="preserve">Seminario 3</t>
  </si>
  <si>
    <t xml:space="preserve">Seminario 4</t>
  </si>
  <si>
    <t xml:space="preserve">Suma de ponderaciones</t>
  </si>
  <si>
    <t xml:space="preserve">Puntaje bruto (máx. 32)</t>
  </si>
  <si>
    <t xml:space="preserve">% de logro ponderado</t>
  </si>
  <si>
    <t xml:space="preserve">Nota del seminario</t>
  </si>
  <si>
    <t xml:space="preserve">Promedio seminarios</t>
  </si>
  <si>
    <t xml:space="preserve">Promedia los seminarios ya evaluados; con los 4 evaluados es la nota oficial.</t>
  </si>
  <si>
    <t xml:space="preserve">Feedback / comentarios del evaluador</t>
  </si>
  <si>
    <t xml:space="preserve">Evaluación de desempeño – Pauta de evaluación global</t>
  </si>
  <si>
    <t xml:space="preserve">13-11-2026</t>
  </si>
  <si>
    <t xml:space="preserve">30-11-2026</t>
  </si>
  <si>
    <t xml:space="preserve">Evaluador</t>
  </si>
  <si>
    <t xml:space="preserve">Mitad de rotación (formativa)</t>
  </si>
  <si>
    <t xml:space="preserve">Final (sumativa)</t>
  </si>
  <si>
    <t xml:space="preserve">Observaciones</t>
  </si>
  <si>
    <t xml:space="preserve">Evaluación funcional preoperatoria</t>
  </si>
  <si>
    <t xml:space="preserve">Estratificación del riesgo e integración de resultados (incluye CPET)</t>
  </si>
  <si>
    <t xml:space="preserve">Planificación de la prehabilitación multimodal</t>
  </si>
  <si>
    <t xml:space="preserve">Rehabilitación respiratoria y movilización precoz</t>
  </si>
  <si>
    <t xml:space="preserve">Trabajo coordinado con kinesiología y el equipo interdisciplinario</t>
  </si>
  <si>
    <t xml:space="preserve">Comunicación con el paciente y la familia; educación</t>
  </si>
  <si>
    <t xml:space="preserve">Registro clínico y presentación de casos</t>
  </si>
  <si>
    <t xml:space="preserve">Profesionalismo (puntualidad, responsabilidad, ética, trato)</t>
  </si>
  <si>
    <t xml:space="preserve">Aprendizaje autodirigido y bitácora reflexiva</t>
  </si>
  <si>
    <t xml:space="preserve">Receptividad y respuesta al feedback</t>
  </si>
  <si>
    <t xml:space="preserve">Nota (sólo la columna Final entra en la nota de la rotación)</t>
  </si>
  <si>
    <t xml:space="preserve">Formativa: sin nota oficial</t>
  </si>
  <si>
    <t xml:space="preserve">Bitácora reflexiva semanal (Canvas)</t>
  </si>
  <si>
    <t xml:space="preserve">Preguntas: ¿Qué aprendí? · ¿Qué cambió mi forma de evaluar un paciente? · ¿Qué haría distinto ahora?</t>
  </si>
  <si>
    <t xml:space="preserve">Semana</t>
  </si>
  <si>
    <t xml:space="preserve">Fecha límite</t>
  </si>
  <si>
    <t xml:space="preserve">Fecha de entrega</t>
  </si>
  <si>
    <t xml:space="preserve">¿Entregada a tiempo?</t>
  </si>
  <si>
    <t xml:space="preserve">Calidad reflexiva (0–4)</t>
  </si>
  <si>
    <t xml:space="preserve">Comentario del docente</t>
  </si>
  <si>
    <t xml:space="preserve">Semana 1</t>
  </si>
  <si>
    <t xml:space="preserve">Semana 2</t>
  </si>
  <si>
    <t xml:space="preserve">Semana 3</t>
  </si>
  <si>
    <t xml:space="preserve">Semana 4</t>
  </si>
  <si>
    <t xml:space="preserve">Entregadas</t>
  </si>
  <si>
    <t xml:space="preserve">Referencia para puntuar el criterio 9 de la Pauta de evaluación global.</t>
  </si>
  <si>
    <t xml:space="preserve">Promedio calidad</t>
  </si>
  <si>
    <t xml:space="preserve">Registro de feedback estructurado</t>
  </si>
  <si>
    <t xml:space="preserve">Modelo: 1) autoevaluación del residente · 2) fortalezas · 3) aspectos a mejorar · 4) plan de acción con compromisos</t>
  </si>
  <si>
    <t xml:space="preserve">Instancia</t>
  </si>
  <si>
    <t xml:space="preserve">Autoevaluación del residente</t>
  </si>
  <si>
    <t xml:space="preserve">Fortalezas observadas</t>
  </si>
  <si>
    <t xml:space="preserve">Aspectos a mejorar</t>
  </si>
  <si>
    <t xml:space="preserve">Plan de acción / compromisos</t>
  </si>
  <si>
    <t xml:space="preserve">Seguimiento (¿se cumplió?)</t>
  </si>
  <si>
    <t xml:space="preserve">06-11-2026</t>
  </si>
  <si>
    <t xml:space="preserve">Post seminario 1</t>
  </si>
  <si>
    <t xml:space="preserve">Mitad de rotación + post seminario 2</t>
  </si>
  <si>
    <t xml:space="preserve">20-11-2026</t>
  </si>
  <si>
    <t xml:space="preserve">Post seminario 3</t>
  </si>
  <si>
    <t xml:space="preserve">27-11-2026</t>
  </si>
  <si>
    <t xml:space="preserve">Post seminario 4</t>
  </si>
  <si>
    <t xml:space="preserve">Final de rotación</t>
  </si>
  <si>
    <t xml:space="preserve">Otra (clínica)</t>
  </si>
  <si>
    <t xml:space="preserve">Rúbrica – Pauta de presentación oral (Seminarios)</t>
  </si>
  <si>
    <t xml:space="preserve">Descriptores por nivel de desempeño. El nivel 0 corresponde a «No logrado / ausente».</t>
  </si>
  <si>
    <t xml:space="preserve">4 · Excelente</t>
  </si>
  <si>
    <t xml:space="preserve">3 · Bueno</t>
  </si>
  <si>
    <t xml:space="preserve">2 · Suficiente</t>
  </si>
  <si>
    <t xml:space="preserve">1 · Insuficiente</t>
  </si>
  <si>
    <t xml:space="preserve">Demuestra dominio profundo del tema; conceptos precisos y actualizados; integra fisiología y clínica sin errores.</t>
  </si>
  <si>
    <t xml:space="preserve">Buen dominio del tema con imprecisiones menores que no afectan el mensaje.</t>
  </si>
  <si>
    <t xml:space="preserve">Dominio básico; algunos errores conceptuales o información desactualizada.</t>
  </si>
  <si>
    <t xml:space="preserve">Dominio insuficiente; errores conceptuales relevantes.</t>
  </si>
  <si>
    <t xml:space="preserve">Objetivos explícitos; secuencia lógica (introducción, desarrollo, conclusiones); transiciones claras.</t>
  </si>
  <si>
    <t xml:space="preserve">Estructura adecuada con pequeñas faltas de secuencia.</t>
  </si>
  <si>
    <t xml:space="preserve">Estructura poco clara; objetivos implícitos o incompletos.</t>
  </si>
  <si>
    <t xml:space="preserve">Presentación desordenada, sin objetivos ni conclusiones.</t>
  </si>
  <si>
    <t xml:space="preserve">≥ 5 referencias pertinentes, actualizadas (guías, ensayos clínicos, revisiones sistemáticas), correctamente citadas.</t>
  </si>
  <si>
    <t xml:space="preserve">Referencias pertinentes y adecuadas, con alguna fuente desactualizada o cita incompleta.</t>
  </si>
  <si>
    <t xml:space="preserve">Pocas referencias o predominio de fuentes secundarias de baja calidad.</t>
  </si>
  <si>
    <t xml:space="preserve">Bibliografía ausente, irrelevante o no citada.</t>
  </si>
  <si>
    <t xml:space="preserve">Analiza el diseño, la calidad y las limitaciones de los estudios; distingue niveles de evidencia y su aplicabilidad local.</t>
  </si>
  <si>
    <t xml:space="preserve">Analiza la evidencia con algunas omisiones en limitaciones o aplicabilidad.</t>
  </si>
  <si>
    <t xml:space="preserve">Describe los estudios sin análisis crítico.</t>
  </si>
  <si>
    <t xml:space="preserve">No presenta evidencia o la interpreta erróneamente.</t>
  </si>
  <si>
    <t xml:space="preserve">Integra un caso real de la rotación; traduce la evidencia en decisiones concretas de evaluación, prehabilitación y manejo anestésico, en coordinación con kinesiología.</t>
  </si>
  <si>
    <t xml:space="preserve">Presenta un caso y lo vincula con el tema, con integración parcial al manejo anestésico.</t>
  </si>
  <si>
    <t xml:space="preserve">Caso poco relacionado o aplicación clínica genérica.</t>
  </si>
  <si>
    <t xml:space="preserve">Sin caso clínico ni aplicación práctica.</t>
  </si>
  <si>
    <t xml:space="preserve">Diapositivas claras, legibles, sin sobrecarga de texto; gráficos y tablas que facilitan la comprensión.</t>
  </si>
  <si>
    <t xml:space="preserve">Material adecuado con exceso puntual de texto o algún elemento poco legible.</t>
  </si>
  <si>
    <t xml:space="preserve">Material recargado o de difícil lectura.</t>
  </si>
  <si>
    <t xml:space="preserve">Material ausente o que dificulta la comprensión.</t>
  </si>
  <si>
    <t xml:space="preserve">Expone con fluidez, lenguaje técnico apropiado, contacto visual; respeta el tiempo (30 ± 3 min).</t>
  </si>
  <si>
    <t xml:space="preserve">Buena comunicación; desviación menor del tiempo (± 5 min).</t>
  </si>
  <si>
    <t xml:space="preserve">Lee gran parte de la presentación o se desvía del tiempo &gt; 5 min.</t>
  </si>
  <si>
    <t xml:space="preserve">Comunicación deficiente; no logra completar la presentación en el tiempo.</t>
  </si>
  <si>
    <t xml:space="preserve">Responde con fundamento, reconoce límites del conocimiento y promueve la discusión.</t>
  </si>
  <si>
    <t xml:space="preserve">Responde adecuadamente la mayoría de las preguntas.</t>
  </si>
  <si>
    <t xml:space="preserve">Respuestas parciales o poco fundamentadas.</t>
  </si>
  <si>
    <t xml:space="preserve">No logra responder o lo hace de forma incorrecta.</t>
  </si>
  <si>
    <t xml:space="preserve">Rúbrica – Pauta de evaluación global de desempeño</t>
  </si>
  <si>
    <t xml:space="preserve">Realiza en forma autónoma y sistemática la anamnesis funcional (METs, DASI) y aplica e interpreta correctamente TM6M, pruebas de fuerza y SPPB.</t>
  </si>
  <si>
    <t xml:space="preserve">Realiza la evaluación completa con supervisión mínima y errores menores de interpretación.</t>
  </si>
  <si>
    <t xml:space="preserve">Realiza la evaluación con supervisión frecuente; omite componentes o interpreta parcialmente.</t>
  </si>
  <si>
    <t xml:space="preserve">Evaluación incompleta o incorrecta pese a la supervisión.</t>
  </si>
  <si>
    <t xml:space="preserve">Integra capacidad funcional, fragilidad y riesgo pulmonar/cardiaco (ARISCAT, CFS, umbrales de CPET) y las traduce en decisiones anestésicas fundamentadas.</t>
  </si>
  <si>
    <t xml:space="preserve">Estratifica el riesgo correctamente con integración parcial a la planificación anestésica.</t>
  </si>
  <si>
    <t xml:space="preserve">Estratifica el riesgo con herramientas aisladas, sin integrar los resultados.</t>
  </si>
  <si>
    <t xml:space="preserve">No logra estimar el riesgo o lo hace de forma errónea.</t>
  </si>
  <si>
    <t xml:space="preserve">Propone un plan individualizado (ejercicio aeróbico y de fuerza con FITT, IMT, nutrición, apoyo psicológico, tabaco, anemia) con plazos realistas.</t>
  </si>
  <si>
    <t xml:space="preserve">Propone un plan adecuado, con algún componente poco individualizado.</t>
  </si>
  <si>
    <t xml:space="preserve">Plan genérico, limitado a uno o dos componentes.</t>
  </si>
  <si>
    <t xml:space="preserve">No logra proponer un plan coherente.</t>
  </si>
  <si>
    <t xml:space="preserve">Indica y fundamenta IMT, técnicas respiratorias y metas de movilización; identifica y resuelve barreras anestésicas para movilizar.</t>
  </si>
  <si>
    <t xml:space="preserve">Indica estrategias adecuadas con fundamentación parcial.</t>
  </si>
  <si>
    <t xml:space="preserve">Conoce las estrategias pero no las aplica al caso particular.</t>
  </si>
  <si>
    <t xml:space="preserve">Desconoce las estrategias o las indica erróneamente.</t>
  </si>
  <si>
    <t xml:space="preserve">Se integra activamente; respeta y valora el rol del kinesiólogo; comunica en forma clara y oportuna; deriva adecuadamente.</t>
  </si>
  <si>
    <t xml:space="preserve">Trabaja en equipo de forma adecuada con oportunidades menores de mejora en la comunicación.</t>
  </si>
  <si>
    <t xml:space="preserve">Participación pasiva o comunicación poco oportuna.</t>
  </si>
  <si>
    <t xml:space="preserve">Dificultades para trabajar en equipo o desconoce roles.</t>
  </si>
  <si>
    <t xml:space="preserve">Explica con lenguaje claro la evaluación y el plan; promueve la adherencia; considera preferencias del paciente.</t>
  </si>
  <si>
    <t xml:space="preserve">Comunicación adecuada con oportunidades menores de mejora.</t>
  </si>
  <si>
    <t xml:space="preserve">Comunicación técnica o poco empática; educación insuficiente.</t>
  </si>
  <si>
    <t xml:space="preserve">Comunicación inadecuada con el paciente o la familia.</t>
  </si>
  <si>
    <t xml:space="preserve">Registros completos, oportunos y legibles; presenta casos de forma concisa y estructurada.</t>
  </si>
  <si>
    <t xml:space="preserve">Registros y presentaciones adecuados con omisiones menores.</t>
  </si>
  <si>
    <t xml:space="preserve">Registros incompletos o presentaciones desordenadas.</t>
  </si>
  <si>
    <t xml:space="preserve">No registra o lo hace de manera deficiente.</t>
  </si>
  <si>
    <t xml:space="preserve">Puntual, responsable, proactivo; trato respetuoso con pacientes y equipo; conducta ética intachable.</t>
  </si>
  <si>
    <t xml:space="preserve">Cumple adecuadamente; faltas menores aisladas.</t>
  </si>
  <si>
    <t xml:space="preserve">Faltas reiteradas de puntualidad o responsabilidad.</t>
  </si>
  <si>
    <t xml:space="preserve">Faltas graves de profesionalismo.</t>
  </si>
  <si>
    <t xml:space="preserve">Entrega las 4 bitácoras a tiempo con reflexión profunda; busca bibliografía motivada por sus casos.</t>
  </si>
  <si>
    <t xml:space="preserve">Entrega las bitácoras con reflexión adecuada; algún atraso menor.</t>
  </si>
  <si>
    <t xml:space="preserve">Bitácoras descriptivas, poco reflexivas o con atrasos.</t>
  </si>
  <si>
    <t xml:space="preserve">No entrega bitácoras o son superficiales.</t>
  </si>
  <si>
    <t xml:space="preserve">Solicita feedback, lo acepta y demuestra mejoras concretas.</t>
  </si>
  <si>
    <t xml:space="preserve">Acepta el feedback e incorpora la mayoría de las sugerencias.</t>
  </si>
  <si>
    <t xml:space="preserve">Acepta el feedback pero muestra pocos cambios.</t>
  </si>
  <si>
    <t xml:space="preserve">No acepta el feedback o no muestra cambios.</t>
  </si>
  <si>
    <t xml:space="preserve">Escala de notas (1,0 – 7,0)</t>
  </si>
  <si>
    <t xml:space="preserve">Calculada con el % de exigencia definido en «Parametros».</t>
  </si>
  <si>
    <t xml:space="preserve">Parámetros de la evaluación</t>
  </si>
  <si>
    <t xml:space="preserve">Valores definidos por el programa. Modificar sólo si cambia el reglamento.</t>
  </si>
  <si>
    <t xml:space="preserve">Parámetro</t>
  </si>
  <si>
    <t xml:space="preserve">Valor</t>
  </si>
  <si>
    <t xml:space="preserve">Fuente / nota</t>
  </si>
  <si>
    <t xml:space="preserve">Nota mínima de la escala</t>
  </si>
  <si>
    <t xml:space="preserve">Escala de notas 1 a 7 (programa de la rotación).</t>
  </si>
  <si>
    <t xml:space="preserve">Nota máxima de la escala</t>
  </si>
  <si>
    <t xml:space="preserve">Nota de aprobación de la escala (nota 4,0)</t>
  </si>
  <si>
    <t xml:space="preserve">Nota que se obtiene con el porcentaje de exigencia.</t>
  </si>
  <si>
    <t xml:space="preserve">Porcentaje de exigencia</t>
  </si>
  <si>
    <t xml:space="preserve">Supuesto: 60 % de logro = nota 4,0 (estándar habitual en Chile). Ajustar si el reglamento indica otro.</t>
  </si>
  <si>
    <t xml:space="preserve">Puntaje máximo por criterio</t>
  </si>
  <si>
    <t xml:space="preserve">Niveles de desempeño 0 a 4 (ver hojas de rúbricas).</t>
  </si>
  <si>
    <t xml:space="preserve">Ponderación Seminarios</t>
  </si>
  <si>
    <t xml:space="preserve">Programa: Pauta de presentación oral = 50 % de la nota final.</t>
  </si>
  <si>
    <t xml:space="preserve">Ponderación Desempeño (Pauta global)</t>
  </si>
  <si>
    <t xml:space="preserve">Programa: Pauta de evaluación global = 50 % de la nota final.</t>
  </si>
  <si>
    <t xml:space="preserve">Nota final mínima de aprobación</t>
  </si>
  <si>
    <t xml:space="preserve">Programa: requisito 2.</t>
  </si>
  <si>
    <t xml:space="preserve">Nota mínima en Seminarios</t>
  </si>
  <si>
    <t xml:space="preserve">Programa: requisito 3.</t>
  </si>
  <si>
    <t xml:space="preserve">Asistencia mínima</t>
  </si>
  <si>
    <t xml:space="preserve">Programa: requisito 1.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</si>
</sst>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0.0%"/>
    <numFmt numFmtId="167" formatCode="0.0"/>
    <numFmt numFmtId="168" formatCode="dd\-mm\-yyyy"/>
    <numFmt numFmtId="169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1F4E79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5"/>
    <col collapsed="false" customWidth="true" hidden="false" outlineLevel="0" max="4" min="4" style="0" width="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23.85" hidden="false" customHeight="false" outlineLevel="0" collapsed="false">
      <c r="B7" s="4" t="s">
        <v>5</v>
      </c>
      <c r="C7" s="5" t="s">
        <v>6</v>
      </c>
    </row>
    <row r="8" customFormat="false" ht="23.85" hidden="false" customHeight="false" outlineLevel="0" collapsed="false">
      <c r="B8" s="4" t="s">
        <v>7</v>
      </c>
      <c r="C8" s="5" t="s">
        <v>8</v>
      </c>
    </row>
    <row r="9" customFormat="false" ht="23.85" hidden="false" customHeight="false" outlineLevel="0" collapsed="false">
      <c r="B9" s="4" t="s">
        <v>9</v>
      </c>
      <c r="C9" s="5" t="s">
        <v>10</v>
      </c>
    </row>
    <row r="10" customFormat="false" ht="15" hidden="false" customHeight="false" outlineLevel="0" collapsed="false">
      <c r="B10" s="4" t="s">
        <v>11</v>
      </c>
      <c r="C10" s="5" t="s">
        <v>12</v>
      </c>
    </row>
    <row r="11" customFormat="false" ht="15" hidden="false" customHeight="false" outlineLevel="0" collapsed="false">
      <c r="B11" s="4" t="s">
        <v>13</v>
      </c>
      <c r="C11" s="5" t="s">
        <v>14</v>
      </c>
    </row>
    <row r="12" customFormat="false" ht="15" hidden="false" customHeight="false" outlineLevel="0" collapsed="false">
      <c r="B12" s="4" t="s">
        <v>15</v>
      </c>
      <c r="C12" s="5" t="s">
        <v>16</v>
      </c>
    </row>
    <row r="14" customFormat="false" ht="15" hidden="false" customHeight="false" outlineLevel="0" collapsed="false">
      <c r="B14" s="3" t="s">
        <v>17</v>
      </c>
    </row>
    <row r="15" customFormat="false" ht="15" hidden="false" customHeight="false" outlineLevel="0" collapsed="false">
      <c r="B15" s="6" t="s">
        <v>18</v>
      </c>
      <c r="C15" s="5" t="s">
        <v>19</v>
      </c>
    </row>
    <row r="16" customFormat="false" ht="15" hidden="false" customHeight="false" outlineLevel="0" collapsed="false">
      <c r="B16" s="4" t="s">
        <v>20</v>
      </c>
      <c r="C16" s="5" t="s">
        <v>21</v>
      </c>
    </row>
    <row r="17" customFormat="false" ht="15" hidden="false" customHeight="false" outlineLevel="0" collapsed="false">
      <c r="B17" s="4" t="s">
        <v>22</v>
      </c>
      <c r="C17" s="5" t="s">
        <v>23</v>
      </c>
    </row>
    <row r="19" customFormat="false" ht="15" hidden="false" customHeight="false" outlineLevel="0" collapsed="false">
      <c r="B19" s="3" t="s">
        <v>24</v>
      </c>
    </row>
    <row r="20" customFormat="false" ht="15" hidden="false" customHeight="false" outlineLevel="0" collapsed="false">
      <c r="B20" s="4" t="s">
        <v>25</v>
      </c>
      <c r="C20" s="5" t="s">
        <v>26</v>
      </c>
    </row>
    <row r="21" customFormat="false" ht="23.85" hidden="false" customHeight="false" outlineLevel="0" collapsed="false">
      <c r="B21" s="4" t="s">
        <v>27</v>
      </c>
      <c r="C21" s="5" t="s">
        <v>28</v>
      </c>
    </row>
    <row r="22" customFormat="false" ht="15" hidden="false" customHeight="false" outlineLevel="0" collapsed="false">
      <c r="B22" s="4" t="s">
        <v>29</v>
      </c>
      <c r="C22" s="5" t="s">
        <v>30</v>
      </c>
    </row>
    <row r="23" customFormat="false" ht="15" hidden="false" customHeight="false" outlineLevel="0" collapsed="false">
      <c r="B23" s="4" t="s">
        <v>31</v>
      </c>
      <c r="C23" s="5" t="s">
        <v>32</v>
      </c>
    </row>
    <row r="25" customFormat="false" ht="15" hidden="false" customHeight="false" outlineLevel="0" collapsed="false">
      <c r="B25" s="3" t="s">
        <v>33</v>
      </c>
    </row>
    <row r="26" customFormat="false" ht="15" hidden="false" customHeight="false" outlineLevel="0" collapsed="false">
      <c r="B26" s="7" t="s">
        <v>34</v>
      </c>
      <c r="C26" s="7" t="s">
        <v>35</v>
      </c>
      <c r="D26" s="7" t="s">
        <v>36</v>
      </c>
    </row>
    <row r="27" customFormat="false" ht="23.85" hidden="false" customHeight="false" outlineLevel="0" collapsed="false">
      <c r="B27" s="8" t="s">
        <v>37</v>
      </c>
      <c r="C27" s="9" t="n">
        <v>4</v>
      </c>
      <c r="D27" s="10" t="n">
        <v>0.2</v>
      </c>
    </row>
    <row r="28" customFormat="false" ht="15" hidden="false" customHeight="false" outlineLevel="0" collapsed="false">
      <c r="B28" s="8" t="s">
        <v>38</v>
      </c>
      <c r="C28" s="9" t="n">
        <v>3</v>
      </c>
      <c r="D28" s="10" t="n">
        <v>0.1</v>
      </c>
    </row>
    <row r="29" customFormat="false" ht="23.85" hidden="false" customHeight="false" outlineLevel="0" collapsed="false">
      <c r="B29" s="8" t="s">
        <v>39</v>
      </c>
      <c r="C29" s="9" t="n">
        <v>3</v>
      </c>
      <c r="D29" s="10" t="n">
        <v>0.15</v>
      </c>
    </row>
    <row r="30" customFormat="false" ht="15" hidden="false" customHeight="false" outlineLevel="0" collapsed="false">
      <c r="B30" s="8" t="s">
        <v>40</v>
      </c>
      <c r="C30" s="9" t="n">
        <v>2</v>
      </c>
      <c r="D30" s="10" t="n">
        <v>0.15</v>
      </c>
    </row>
    <row r="31" customFormat="false" ht="23.85" hidden="false" customHeight="false" outlineLevel="0" collapsed="false">
      <c r="B31" s="8" t="s">
        <v>41</v>
      </c>
      <c r="C31" s="9" t="n">
        <v>4</v>
      </c>
      <c r="D31" s="10" t="n">
        <v>0.2</v>
      </c>
    </row>
    <row r="32" customFormat="false" ht="15" hidden="false" customHeight="false" outlineLevel="0" collapsed="false">
      <c r="B32" s="8" t="s">
        <v>42</v>
      </c>
      <c r="C32" s="9" t="n">
        <v>3</v>
      </c>
      <c r="D32" s="10" t="n">
        <v>0.05</v>
      </c>
    </row>
    <row r="33" customFormat="false" ht="23.85" hidden="false" customHeight="false" outlineLevel="0" collapsed="false">
      <c r="B33" s="8" t="s">
        <v>43</v>
      </c>
      <c r="C33" s="9" t="n">
        <v>3</v>
      </c>
      <c r="D33" s="10" t="n">
        <v>0.05</v>
      </c>
    </row>
    <row r="34" customFormat="false" ht="23.85" hidden="false" customHeight="false" outlineLevel="0" collapsed="false">
      <c r="B34" s="8" t="s">
        <v>44</v>
      </c>
      <c r="C34" s="9" t="n">
        <v>3</v>
      </c>
      <c r="D34" s="10" t="n">
        <v>0.1</v>
      </c>
    </row>
    <row r="35" customFormat="false" ht="15" hidden="false" customHeight="false" outlineLevel="0" collapsed="false">
      <c r="B35" s="4" t="s">
        <v>25</v>
      </c>
      <c r="C35" s="11" t="n">
        <f aca="false">SUMPRODUCT(D27:D34,C27:C34)/Parametros!$B$9</f>
        <v>0.8125</v>
      </c>
    </row>
    <row r="36" customFormat="false" ht="15" hidden="false" customHeight="false" outlineLevel="0" collapsed="false">
      <c r="B36" s="4" t="s">
        <v>27</v>
      </c>
      <c r="C36" s="12" t="n">
        <f aca="false">ROUND(IF(C35&lt;Parametros!$B$8,Parametros!$B$5+(Parametros!$B$7-Parametros!$B$5)*C35/Parametros!$B$8,Parametros!$B$7+(Parametros!$B$6-Parametros!$B$7)*(C35-Parametros!$B$8)/(1-Parametros!$B$8)),1)</f>
        <v>5.6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C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45</v>
      </c>
    </row>
    <row r="3" customFormat="false" ht="15" hidden="false" customHeight="false" outlineLevel="0" collapsed="false">
      <c r="A3" s="7" t="s">
        <v>46</v>
      </c>
      <c r="B3" s="7" t="s">
        <v>47</v>
      </c>
    </row>
    <row r="4" customFormat="false" ht="15" hidden="false" customHeight="false" outlineLevel="0" collapsed="false">
      <c r="A4" s="13" t="s">
        <v>48</v>
      </c>
      <c r="B4" s="9" t="s">
        <v>49</v>
      </c>
    </row>
    <row r="5" customFormat="false" ht="15" hidden="false" customHeight="false" outlineLevel="0" collapsed="false">
      <c r="A5" s="13" t="s">
        <v>50</v>
      </c>
      <c r="B5" s="9"/>
    </row>
    <row r="6" customFormat="false" ht="15" hidden="false" customHeight="false" outlineLevel="0" collapsed="false">
      <c r="A6" s="13" t="s">
        <v>51</v>
      </c>
      <c r="B6" s="9" t="s">
        <v>52</v>
      </c>
    </row>
    <row r="7" customFormat="false" ht="15" hidden="false" customHeight="false" outlineLevel="0" collapsed="false">
      <c r="A7" s="13" t="s">
        <v>53</v>
      </c>
      <c r="B7" s="9"/>
    </row>
    <row r="8" customFormat="false" ht="15" hidden="false" customHeight="false" outlineLevel="0" collapsed="false">
      <c r="A8" s="13" t="s">
        <v>54</v>
      </c>
      <c r="B8" s="9"/>
    </row>
    <row r="9" customFormat="false" ht="15" hidden="false" customHeight="false" outlineLevel="0" collapsed="false">
      <c r="A9" s="13" t="s">
        <v>55</v>
      </c>
      <c r="B9" s="9" t="s">
        <v>56</v>
      </c>
    </row>
    <row r="11" customFormat="false" ht="15" hidden="false" customHeight="false" outlineLevel="0" collapsed="false">
      <c r="A11" s="7" t="s">
        <v>57</v>
      </c>
      <c r="B11" s="7" t="s">
        <v>58</v>
      </c>
      <c r="C11" s="7" t="s">
        <v>59</v>
      </c>
    </row>
    <row r="12" customFormat="false" ht="15" hidden="false" customHeight="false" outlineLevel="0" collapsed="false">
      <c r="A12" s="14" t="s">
        <v>60</v>
      </c>
      <c r="B12" s="15" t="str">
        <f aca="false">Seminarios!G20</f>
        <v/>
      </c>
      <c r="C12" s="16" t="n">
        <f aca="false">Parametros!$B$10</f>
        <v>0.5</v>
      </c>
    </row>
    <row r="13" customFormat="false" ht="15" hidden="false" customHeight="false" outlineLevel="0" collapsed="false">
      <c r="A13" s="14" t="s">
        <v>61</v>
      </c>
      <c r="B13" s="15" t="str">
        <f aca="false">Desempeno!E19</f>
        <v/>
      </c>
      <c r="C13" s="16" t="n">
        <f aca="false">Parametros!$B$11</f>
        <v>0.5</v>
      </c>
    </row>
    <row r="14" customFormat="false" ht="17.35" hidden="false" customHeight="false" outlineLevel="0" collapsed="false">
      <c r="A14" s="13" t="s">
        <v>62</v>
      </c>
      <c r="B14" s="17" t="str">
        <f aca="false">IF(AND(ISNUMBER(B12),ISNUMBER(B13)),ROUND(B12*C12+B13*C13,1),"")</f>
        <v/>
      </c>
    </row>
    <row r="15" customFormat="false" ht="15" hidden="false" customHeight="false" outlineLevel="0" collapsed="false">
      <c r="A15" s="14" t="s">
        <v>63</v>
      </c>
      <c r="B15" s="18" t="str">
        <f aca="false">Asistencia!C30</f>
        <v/>
      </c>
    </row>
    <row r="17" customFormat="false" ht="15" hidden="false" customHeight="false" outlineLevel="0" collapsed="false">
      <c r="A17" s="7" t="s">
        <v>64</v>
      </c>
      <c r="B17" s="7" t="s">
        <v>65</v>
      </c>
      <c r="C17" s="7" t="s">
        <v>66</v>
      </c>
    </row>
    <row r="18" customFormat="false" ht="15" hidden="false" customHeight="false" outlineLevel="0" collapsed="false">
      <c r="A18" s="14" t="s">
        <v>67</v>
      </c>
      <c r="B18" s="16" t="n">
        <f aca="false">Parametros!$B$14</f>
        <v>0.9</v>
      </c>
      <c r="C18" s="19" t="str">
        <f aca="false">IF(ISNUMBER(B15),IF(B15&gt;=B18,"SÍ","NO"),"PENDIENTE")</f>
        <v>PENDIENTE</v>
      </c>
    </row>
    <row r="19" customFormat="false" ht="15" hidden="false" customHeight="false" outlineLevel="0" collapsed="false">
      <c r="A19" s="14" t="s">
        <v>68</v>
      </c>
      <c r="B19" s="15" t="n">
        <f aca="false">Parametros!$B$12</f>
        <v>5</v>
      </c>
      <c r="C19" s="19" t="str">
        <f aca="false">IF(ISNUMBER(B14),IF(B14&gt;=B19,"SÍ","NO"),"PENDIENTE")</f>
        <v>PENDIENTE</v>
      </c>
    </row>
    <row r="20" customFormat="false" ht="15" hidden="false" customHeight="false" outlineLevel="0" collapsed="false">
      <c r="A20" s="14" t="s">
        <v>69</v>
      </c>
      <c r="B20" s="15" t="n">
        <f aca="false">Parametros!$B$13</f>
        <v>5</v>
      </c>
      <c r="C20" s="19" t="str">
        <f aca="false">IF(ISNUMBER(B12),IF(B12&gt;=B20,"SÍ","NO"),"PENDIENTE")</f>
        <v>PENDIENTE</v>
      </c>
    </row>
    <row r="22" customFormat="false" ht="15" hidden="false" customHeight="false" outlineLevel="0" collapsed="false">
      <c r="A22" s="13" t="s">
        <v>70</v>
      </c>
      <c r="B22" s="20" t="str">
        <f aca="false">IF(COUNTIF(C18:C20,"NO")&gt;0,"REPROBADA",IF(COUNTIF(C18:C20,"PENDIENTE")&gt;0,"EN CURSO","APROBADA"))</f>
        <v>EN CURSO</v>
      </c>
    </row>
    <row r="24" customFormat="false" ht="15" hidden="false" customHeight="false" outlineLevel="0" collapsed="false">
      <c r="A24" s="13" t="s">
        <v>71</v>
      </c>
    </row>
    <row r="25" customFormat="false" ht="15" hidden="false" customHeight="false" outlineLevel="0" collapsed="false">
      <c r="A25" s="21"/>
      <c r="B25" s="21"/>
      <c r="C25" s="21"/>
    </row>
    <row r="26" customFormat="false" ht="15" hidden="false" customHeight="false" outlineLevel="0" collapsed="false">
      <c r="A26" s="21"/>
      <c r="B26" s="21"/>
      <c r="C26" s="21"/>
    </row>
    <row r="27" customFormat="false" ht="15" hidden="false" customHeight="false" outlineLevel="0" collapsed="false">
      <c r="A27" s="21"/>
      <c r="B27" s="21"/>
      <c r="C27" s="21"/>
    </row>
    <row r="28" customFormat="false" ht="15" hidden="false" customHeight="false" outlineLevel="0" collapsed="false">
      <c r="A28" s="21"/>
      <c r="B28" s="21"/>
      <c r="C28" s="21"/>
    </row>
    <row r="29" customFormat="false" ht="15" hidden="false" customHeight="false" outlineLevel="0" collapsed="false">
      <c r="A29" s="21"/>
      <c r="B29" s="21"/>
      <c r="C29" s="21"/>
    </row>
    <row r="31" customFormat="false" ht="15" hidden="false" customHeight="false" outlineLevel="0" collapsed="false">
      <c r="A31" s="14" t="s">
        <v>72</v>
      </c>
      <c r="B31" s="9"/>
    </row>
    <row r="32" customFormat="false" ht="15" hidden="false" customHeight="false" outlineLevel="0" collapsed="false">
      <c r="A32" s="14" t="s">
        <v>73</v>
      </c>
      <c r="B32" s="9"/>
    </row>
    <row r="33" customFormat="false" ht="15" hidden="false" customHeight="false" outlineLevel="0" collapsed="false">
      <c r="A33" s="14" t="s">
        <v>74</v>
      </c>
      <c r="B33" s="9"/>
    </row>
  </sheetData>
  <mergeCells count="1">
    <mergeCell ref="A25:C29"/>
  </mergeCells>
  <conditionalFormatting sqref="C18:C20">
    <cfRule type="expression" priority="2" aboveAverage="0" equalAverage="0" bottom="0" percent="0" rank="0" text="" dxfId="0">
      <formula>OR(C18="SÍ",C18="APROBADA")</formula>
    </cfRule>
    <cfRule type="expression" priority="3" aboveAverage="0" equalAverage="0" bottom="0" percent="0" rank="0" text="" dxfId="1">
      <formula>OR(C18="NO",C18="REPROBADA")</formula>
    </cfRule>
  </conditionalFormatting>
  <conditionalFormatting sqref="B22">
    <cfRule type="expression" priority="4" aboveAverage="0" equalAverage="0" bottom="0" percent="0" rank="0" text="" dxfId="0">
      <formula>OR(B22="SÍ",B22="APROBADA")</formula>
    </cfRule>
    <cfRule type="expression" priority="5" aboveAverage="0" equalAverage="0" bottom="0" percent="0" rank="0" text="" dxfId="1">
      <formula>OR(B22="NO",B22="REPROBADA")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</row>
    <row r="4" customFormat="false" ht="15" hidden="false" customHeight="false" outlineLevel="0" collapsed="false">
      <c r="A4" s="7" t="s">
        <v>77</v>
      </c>
      <c r="B4" s="7" t="s">
        <v>78</v>
      </c>
      <c r="C4" s="7" t="s">
        <v>79</v>
      </c>
      <c r="D4" s="7" t="s">
        <v>80</v>
      </c>
    </row>
    <row r="5" customFormat="false" ht="15" hidden="false" customHeight="false" outlineLevel="0" collapsed="false">
      <c r="A5" s="22" t="n">
        <v>46328</v>
      </c>
      <c r="B5" s="19" t="s">
        <v>81</v>
      </c>
      <c r="C5" s="23"/>
      <c r="D5" s="9"/>
    </row>
    <row r="6" customFormat="false" ht="15" hidden="false" customHeight="false" outlineLevel="0" collapsed="false">
      <c r="A6" s="22" t="n">
        <v>46329</v>
      </c>
      <c r="B6" s="19" t="s">
        <v>82</v>
      </c>
      <c r="C6" s="23"/>
      <c r="D6" s="9"/>
    </row>
    <row r="7" customFormat="false" ht="15" hidden="false" customHeight="false" outlineLevel="0" collapsed="false">
      <c r="A7" s="22" t="n">
        <v>46330</v>
      </c>
      <c r="B7" s="19" t="s">
        <v>83</v>
      </c>
      <c r="C7" s="23"/>
      <c r="D7" s="9"/>
    </row>
    <row r="8" customFormat="false" ht="15" hidden="false" customHeight="false" outlineLevel="0" collapsed="false">
      <c r="A8" s="22" t="n">
        <v>46331</v>
      </c>
      <c r="B8" s="19" t="s">
        <v>84</v>
      </c>
      <c r="C8" s="23"/>
      <c r="D8" s="9"/>
    </row>
    <row r="9" customFormat="false" ht="15" hidden="false" customHeight="false" outlineLevel="0" collapsed="false">
      <c r="A9" s="22" t="n">
        <v>46332</v>
      </c>
      <c r="B9" s="19" t="s">
        <v>85</v>
      </c>
      <c r="C9" s="23"/>
      <c r="D9" s="9" t="s">
        <v>86</v>
      </c>
    </row>
    <row r="10" customFormat="false" ht="15" hidden="false" customHeight="false" outlineLevel="0" collapsed="false">
      <c r="A10" s="22" t="n">
        <v>46335</v>
      </c>
      <c r="B10" s="19" t="s">
        <v>81</v>
      </c>
      <c r="C10" s="23"/>
      <c r="D10" s="9"/>
    </row>
    <row r="11" customFormat="false" ht="15" hidden="false" customHeight="false" outlineLevel="0" collapsed="false">
      <c r="A11" s="22" t="n">
        <v>46336</v>
      </c>
      <c r="B11" s="19" t="s">
        <v>82</v>
      </c>
      <c r="C11" s="23"/>
      <c r="D11" s="9"/>
    </row>
    <row r="12" customFormat="false" ht="15" hidden="false" customHeight="false" outlineLevel="0" collapsed="false">
      <c r="A12" s="22" t="n">
        <v>46337</v>
      </c>
      <c r="B12" s="19" t="s">
        <v>83</v>
      </c>
      <c r="C12" s="23"/>
      <c r="D12" s="9"/>
    </row>
    <row r="13" customFormat="false" ht="15" hidden="false" customHeight="false" outlineLevel="0" collapsed="false">
      <c r="A13" s="22" t="n">
        <v>46338</v>
      </c>
      <c r="B13" s="19" t="s">
        <v>84</v>
      </c>
      <c r="C13" s="23"/>
      <c r="D13" s="9"/>
    </row>
    <row r="14" customFormat="false" ht="15" hidden="false" customHeight="false" outlineLevel="0" collapsed="false">
      <c r="A14" s="22" t="n">
        <v>46339</v>
      </c>
      <c r="B14" s="19" t="s">
        <v>85</v>
      </c>
      <c r="C14" s="23"/>
      <c r="D14" s="9" t="s">
        <v>86</v>
      </c>
    </row>
    <row r="15" customFormat="false" ht="15" hidden="false" customHeight="false" outlineLevel="0" collapsed="false">
      <c r="A15" s="22" t="n">
        <v>46342</v>
      </c>
      <c r="B15" s="19" t="s">
        <v>81</v>
      </c>
      <c r="C15" s="23"/>
      <c r="D15" s="9"/>
    </row>
    <row r="16" customFormat="false" ht="15" hidden="false" customHeight="false" outlineLevel="0" collapsed="false">
      <c r="A16" s="22" t="n">
        <v>46343</v>
      </c>
      <c r="B16" s="19" t="s">
        <v>82</v>
      </c>
      <c r="C16" s="23"/>
      <c r="D16" s="9"/>
    </row>
    <row r="17" customFormat="false" ht="15" hidden="false" customHeight="false" outlineLevel="0" collapsed="false">
      <c r="A17" s="22" t="n">
        <v>46344</v>
      </c>
      <c r="B17" s="19" t="s">
        <v>83</v>
      </c>
      <c r="C17" s="23"/>
      <c r="D17" s="9"/>
    </row>
    <row r="18" customFormat="false" ht="15" hidden="false" customHeight="false" outlineLevel="0" collapsed="false">
      <c r="A18" s="22" t="n">
        <v>46345</v>
      </c>
      <c r="B18" s="19" t="s">
        <v>84</v>
      </c>
      <c r="C18" s="23"/>
      <c r="D18" s="9"/>
    </row>
    <row r="19" customFormat="false" ht="15" hidden="false" customHeight="false" outlineLevel="0" collapsed="false">
      <c r="A19" s="22" t="n">
        <v>46346</v>
      </c>
      <c r="B19" s="19" t="s">
        <v>85</v>
      </c>
      <c r="C19" s="23"/>
      <c r="D19" s="9" t="s">
        <v>86</v>
      </c>
    </row>
    <row r="20" customFormat="false" ht="15" hidden="false" customHeight="false" outlineLevel="0" collapsed="false">
      <c r="A20" s="22" t="n">
        <v>46349</v>
      </c>
      <c r="B20" s="19" t="s">
        <v>81</v>
      </c>
      <c r="C20" s="23"/>
      <c r="D20" s="9"/>
    </row>
    <row r="21" customFormat="false" ht="15" hidden="false" customHeight="false" outlineLevel="0" collapsed="false">
      <c r="A21" s="22" t="n">
        <v>46350</v>
      </c>
      <c r="B21" s="19" t="s">
        <v>82</v>
      </c>
      <c r="C21" s="23"/>
      <c r="D21" s="9"/>
    </row>
    <row r="22" customFormat="false" ht="15" hidden="false" customHeight="false" outlineLevel="0" collapsed="false">
      <c r="A22" s="22" t="n">
        <v>46351</v>
      </c>
      <c r="B22" s="19" t="s">
        <v>83</v>
      </c>
      <c r="C22" s="23"/>
      <c r="D22" s="9"/>
    </row>
    <row r="23" customFormat="false" ht="15" hidden="false" customHeight="false" outlineLevel="0" collapsed="false">
      <c r="A23" s="22" t="n">
        <v>46352</v>
      </c>
      <c r="B23" s="19" t="s">
        <v>84</v>
      </c>
      <c r="C23" s="23"/>
      <c r="D23" s="9"/>
    </row>
    <row r="24" customFormat="false" ht="15" hidden="false" customHeight="false" outlineLevel="0" collapsed="false">
      <c r="A24" s="22" t="n">
        <v>46353</v>
      </c>
      <c r="B24" s="19" t="s">
        <v>85</v>
      </c>
      <c r="C24" s="23"/>
      <c r="D24" s="9" t="s">
        <v>86</v>
      </c>
    </row>
    <row r="25" customFormat="false" ht="15" hidden="false" customHeight="false" outlineLevel="0" collapsed="false">
      <c r="A25" s="22" t="n">
        <v>46356</v>
      </c>
      <c r="B25" s="19" t="s">
        <v>81</v>
      </c>
      <c r="C25" s="23"/>
      <c r="D25" s="9" t="s">
        <v>87</v>
      </c>
    </row>
    <row r="27" customFormat="false" ht="15" hidden="false" customHeight="false" outlineLevel="0" collapsed="false">
      <c r="B27" s="13" t="s">
        <v>88</v>
      </c>
      <c r="C27" s="19" t="n">
        <f aca="false">COUNTA(A5:A25)</f>
        <v>21</v>
      </c>
    </row>
    <row r="28" customFormat="false" ht="15" hidden="false" customHeight="false" outlineLevel="0" collapsed="false">
      <c r="B28" s="13" t="s">
        <v>89</v>
      </c>
      <c r="C28" s="19" t="n">
        <f aca="false">COUNTIF(C5:C25,"P")+COUNTIF(C5:C25,"R")</f>
        <v>0</v>
      </c>
    </row>
    <row r="29" customFormat="false" ht="15" hidden="false" customHeight="false" outlineLevel="0" collapsed="false">
      <c r="B29" s="13" t="s">
        <v>90</v>
      </c>
      <c r="C29" s="19" t="n">
        <f aca="false">COUNTA(C5:C25)</f>
        <v>0</v>
      </c>
    </row>
    <row r="30" customFormat="false" ht="15" hidden="false" customHeight="false" outlineLevel="0" collapsed="false">
      <c r="B30" s="13" t="s">
        <v>91</v>
      </c>
      <c r="C30" s="18" t="str">
        <f aca="false">IF(C29=0,"",C28/C27)</f>
        <v/>
      </c>
      <c r="D30" s="2" t="s">
        <v>92</v>
      </c>
    </row>
    <row r="31" customFormat="false" ht="15" hidden="false" customHeight="false" outlineLevel="0" collapsed="false">
      <c r="B31" s="13" t="s">
        <v>93</v>
      </c>
      <c r="C31" s="19" t="n">
        <f aca="false">C27-ROUNDUP(C27*Parametros!$B$14,0)</f>
        <v>2</v>
      </c>
    </row>
  </sheetData>
  <conditionalFormatting sqref="C5:C25">
    <cfRule type="cellIs" priority="2" operator="equal" aboveAverage="0" equalAverage="0" bottom="0" percent="0" rank="0" text="" dxfId="1">
      <formula>"A"</formula>
    </cfRule>
    <cfRule type="cellIs" priority="3" operator="equal" aboveAverage="0" equalAverage="0" bottom="0" percent="0" rank="0" text="" dxfId="2">
      <formula>"J"</formula>
    </cfRule>
  </conditionalFormatting>
  <dataValidations count="1">
    <dataValidation allowBlank="true" error="Usar P, A, J o R" errorStyle="stop" operator="between" showDropDown="false" showErrorMessage="false" showInputMessage="false" sqref="C5:C25" type="list">
      <formula1>"P,A,J,R"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8"/>
    <col collapsed="false" customWidth="true" hidden="false" outlineLevel="0" max="7" min="4" style="0" width="24"/>
  </cols>
  <sheetData>
    <row r="1" customFormat="false" ht="17.35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95</v>
      </c>
    </row>
    <row r="3" customFormat="false" ht="75" hidden="false" customHeight="true" outlineLevel="0" collapsed="false">
      <c r="B3" s="4" t="s">
        <v>96</v>
      </c>
      <c r="D3" s="24" t="s">
        <v>97</v>
      </c>
      <c r="E3" s="24" t="s">
        <v>98</v>
      </c>
      <c r="F3" s="24" t="s">
        <v>99</v>
      </c>
      <c r="G3" s="24" t="s">
        <v>100</v>
      </c>
    </row>
    <row r="4" customFormat="false" ht="15" hidden="false" customHeight="false" outlineLevel="0" collapsed="false">
      <c r="B4" s="4" t="s">
        <v>77</v>
      </c>
      <c r="D4" s="24" t="s">
        <v>101</v>
      </c>
      <c r="E4" s="24" t="s">
        <v>102</v>
      </c>
      <c r="F4" s="24" t="s">
        <v>103</v>
      </c>
      <c r="G4" s="24" t="s">
        <v>104</v>
      </c>
    </row>
    <row r="5" customFormat="false" ht="15" hidden="false" customHeight="false" outlineLevel="0" collapsed="false">
      <c r="B5" s="4" t="s">
        <v>105</v>
      </c>
      <c r="D5" s="24"/>
      <c r="E5" s="24"/>
      <c r="F5" s="24"/>
      <c r="G5" s="24"/>
    </row>
    <row r="6" customFormat="false" ht="15" hidden="false" customHeight="false" outlineLevel="0" collapsed="false">
      <c r="A6" s="7" t="s">
        <v>106</v>
      </c>
      <c r="B6" s="7" t="s">
        <v>107</v>
      </c>
      <c r="C6" s="7" t="s">
        <v>36</v>
      </c>
      <c r="D6" s="7" t="s">
        <v>108</v>
      </c>
      <c r="E6" s="7" t="s">
        <v>109</v>
      </c>
      <c r="F6" s="7" t="s">
        <v>110</v>
      </c>
      <c r="G6" s="7" t="s">
        <v>111</v>
      </c>
    </row>
    <row r="7" customFormat="false" ht="15" hidden="false" customHeight="false" outlineLevel="0" collapsed="false">
      <c r="A7" s="19" t="n">
        <v>1</v>
      </c>
      <c r="B7" s="8" t="s">
        <v>37</v>
      </c>
      <c r="C7" s="16" t="n">
        <v>0.2</v>
      </c>
      <c r="D7" s="23"/>
      <c r="E7" s="23"/>
      <c r="F7" s="23"/>
      <c r="G7" s="23"/>
    </row>
    <row r="8" customFormat="false" ht="15" hidden="false" customHeight="false" outlineLevel="0" collapsed="false">
      <c r="A8" s="19" t="n">
        <v>2</v>
      </c>
      <c r="B8" s="8" t="s">
        <v>38</v>
      </c>
      <c r="C8" s="16" t="n">
        <v>0.1</v>
      </c>
      <c r="D8" s="23"/>
      <c r="E8" s="23"/>
      <c r="F8" s="23"/>
      <c r="G8" s="23"/>
    </row>
    <row r="9" customFormat="false" ht="15" hidden="false" customHeight="false" outlineLevel="0" collapsed="false">
      <c r="A9" s="19" t="n">
        <v>3</v>
      </c>
      <c r="B9" s="8" t="s">
        <v>39</v>
      </c>
      <c r="C9" s="16" t="n">
        <v>0.15</v>
      </c>
      <c r="D9" s="23"/>
      <c r="E9" s="23"/>
      <c r="F9" s="23"/>
      <c r="G9" s="23"/>
    </row>
    <row r="10" customFormat="false" ht="15" hidden="false" customHeight="false" outlineLevel="0" collapsed="false">
      <c r="A10" s="19" t="n">
        <v>4</v>
      </c>
      <c r="B10" s="8" t="s">
        <v>40</v>
      </c>
      <c r="C10" s="16" t="n">
        <v>0.15</v>
      </c>
      <c r="D10" s="23"/>
      <c r="E10" s="23"/>
      <c r="F10" s="23"/>
      <c r="G10" s="23"/>
    </row>
    <row r="11" customFormat="false" ht="23.85" hidden="false" customHeight="false" outlineLevel="0" collapsed="false">
      <c r="A11" s="19" t="n">
        <v>5</v>
      </c>
      <c r="B11" s="8" t="s">
        <v>41</v>
      </c>
      <c r="C11" s="16" t="n">
        <v>0.2</v>
      </c>
      <c r="D11" s="23"/>
      <c r="E11" s="23"/>
      <c r="F11" s="23"/>
      <c r="G11" s="23"/>
    </row>
    <row r="12" customFormat="false" ht="15" hidden="false" customHeight="false" outlineLevel="0" collapsed="false">
      <c r="A12" s="19" t="n">
        <v>6</v>
      </c>
      <c r="B12" s="8" t="s">
        <v>42</v>
      </c>
      <c r="C12" s="16" t="n">
        <v>0.05</v>
      </c>
      <c r="D12" s="23"/>
      <c r="E12" s="23"/>
      <c r="F12" s="23"/>
      <c r="G12" s="23"/>
    </row>
    <row r="13" customFormat="false" ht="15" hidden="false" customHeight="false" outlineLevel="0" collapsed="false">
      <c r="A13" s="19" t="n">
        <v>7</v>
      </c>
      <c r="B13" s="8" t="s">
        <v>43</v>
      </c>
      <c r="C13" s="16" t="n">
        <v>0.05</v>
      </c>
      <c r="D13" s="23"/>
      <c r="E13" s="23"/>
      <c r="F13" s="23"/>
      <c r="G13" s="23"/>
    </row>
    <row r="14" customFormat="false" ht="15" hidden="false" customHeight="false" outlineLevel="0" collapsed="false">
      <c r="A14" s="19" t="n">
        <v>8</v>
      </c>
      <c r="B14" s="8" t="s">
        <v>44</v>
      </c>
      <c r="C14" s="16" t="n">
        <v>0.1</v>
      </c>
      <c r="D14" s="23"/>
      <c r="E14" s="23"/>
      <c r="F14" s="23"/>
      <c r="G14" s="23"/>
    </row>
    <row r="15" customFormat="false" ht="15" hidden="false" customHeight="false" outlineLevel="0" collapsed="false">
      <c r="B15" s="13" t="s">
        <v>112</v>
      </c>
      <c r="C15" s="16" t="n">
        <f aca="false">SUM(C7:C14)</f>
        <v>1</v>
      </c>
    </row>
    <row r="16" customFormat="false" ht="15" hidden="false" customHeight="false" outlineLevel="0" collapsed="false">
      <c r="B16" s="13" t="s">
        <v>113</v>
      </c>
      <c r="D16" s="19" t="n">
        <f aca="false">SUM(D7:D14)</f>
        <v>0</v>
      </c>
      <c r="E16" s="19" t="n">
        <f aca="false">SUM(E7:E14)</f>
        <v>0</v>
      </c>
      <c r="F16" s="19" t="n">
        <f aca="false">SUM(F7:F14)</f>
        <v>0</v>
      </c>
      <c r="G16" s="19" t="n">
        <f aca="false">SUM(G7:G14)</f>
        <v>0</v>
      </c>
    </row>
    <row r="17" customFormat="false" ht="15" hidden="false" customHeight="false" outlineLevel="0" collapsed="false">
      <c r="B17" s="13" t="s">
        <v>114</v>
      </c>
      <c r="D17" s="18" t="str">
        <f aca="false">IF(COUNT(D7:D14)&lt;8,"",SUMPRODUCT($C$7:$C$14,D7:D14)/Parametros!$B$9)</f>
        <v/>
      </c>
      <c r="E17" s="18" t="str">
        <f aca="false">IF(COUNT(E7:E14)&lt;8,"",SUMPRODUCT($C$7:$C$14,E7:E14)/Parametros!$B$9)</f>
        <v/>
      </c>
      <c r="F17" s="18" t="str">
        <f aca="false">IF(COUNT(F7:F14)&lt;8,"",SUMPRODUCT($C$7:$C$14,F7:F14)/Parametros!$B$9)</f>
        <v/>
      </c>
      <c r="G17" s="18" t="str">
        <f aca="false">IF(COUNT(G7:G14)&lt;8,"",SUMPRODUCT($C$7:$C$14,G7:G14)/Parametros!$B$9)</f>
        <v/>
      </c>
    </row>
    <row r="18" customFormat="false" ht="15" hidden="false" customHeight="false" outlineLevel="0" collapsed="false">
      <c r="B18" s="13" t="s">
        <v>115</v>
      </c>
      <c r="D18" s="25" t="str">
        <f aca="false">IF(D17="","",ROUND(IF(D17&lt;Parametros!$B$8,Parametros!$B$5+(Parametros!$B$7-Parametros!$B$5)*D17/Parametros!$B$8,Parametros!$B$7+(Parametros!$B$6-Parametros!$B$7)*(D17-Parametros!$B$8)/(1-Parametros!$B$8)),1))</f>
        <v/>
      </c>
      <c r="E18" s="25" t="str">
        <f aca="false">IF(E17="","",ROUND(IF(E17&lt;Parametros!$B$8,Parametros!$B$5+(Parametros!$B$7-Parametros!$B$5)*E17/Parametros!$B$8,Parametros!$B$7+(Parametros!$B$6-Parametros!$B$7)*(E17-Parametros!$B$8)/(1-Parametros!$B$8)),1))</f>
        <v/>
      </c>
      <c r="F18" s="25" t="str">
        <f aca="false">IF(F17="","",ROUND(IF(F17&lt;Parametros!$B$8,Parametros!$B$5+(Parametros!$B$7-Parametros!$B$5)*F17/Parametros!$B$8,Parametros!$B$7+(Parametros!$B$6-Parametros!$B$7)*(F17-Parametros!$B$8)/(1-Parametros!$B$8)),1))</f>
        <v/>
      </c>
      <c r="G18" s="25" t="str">
        <f aca="false">IF(G17="","",ROUND(IF(G17&lt;Parametros!$B$8,Parametros!$B$5+(Parametros!$B$7-Parametros!$B$5)*G17/Parametros!$B$8,Parametros!$B$7+(Parametros!$B$6-Parametros!$B$7)*(G17-Parametros!$B$8)/(1-Parametros!$B$8)),1))</f>
        <v/>
      </c>
    </row>
    <row r="20" customFormat="false" ht="15" hidden="false" customHeight="false" outlineLevel="0" collapsed="false">
      <c r="F20" s="13" t="s">
        <v>116</v>
      </c>
      <c r="G20" s="26" t="str">
        <f aca="false">IF(COUNT(D18:G18)=0,"",ROUND(AVERAGE(D18:G18),1))</f>
        <v/>
      </c>
      <c r="H20" s="2" t="s">
        <v>117</v>
      </c>
    </row>
    <row r="21" customFormat="false" ht="90" hidden="false" customHeight="true" outlineLevel="0" collapsed="false">
      <c r="B21" s="13" t="s">
        <v>118</v>
      </c>
      <c r="D21" s="27"/>
      <c r="E21" s="27"/>
      <c r="F21" s="27"/>
      <c r="G21" s="27"/>
    </row>
  </sheetData>
  <conditionalFormatting sqref="D18:G18">
    <cfRule type="cellIs" priority="2" operator="lessThan" aboveAverage="0" equalAverage="0" bottom="0" percent="0" rank="0" text="" dxfId="1">
      <formula>Parametros!$B$13</formula>
    </cfRule>
    <cfRule type="cellIs" priority="3" operator="greaterThanOrEqual" aboveAverage="0" equalAverage="0" bottom="0" percent="0" rank="0" text="" dxfId="0">
      <formula>Parametros!$B$13</formula>
    </cfRule>
  </conditionalFormatting>
  <dataValidations count="1">
    <dataValidation allowBlank="true" error="Ingresar un puntaje entero de 0 a 4" errorStyle="stop" operator="between" showDropDown="false" showErrorMessage="false" showInputMessage="false" sqref="D7:G14" type="whole">
      <formula1>0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5" min="4" style="0" width="18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2" t="s">
        <v>95</v>
      </c>
    </row>
    <row r="4" customFormat="false" ht="15" hidden="false" customHeight="false" outlineLevel="0" collapsed="false">
      <c r="B4" s="4" t="s">
        <v>77</v>
      </c>
      <c r="D4" s="24" t="s">
        <v>120</v>
      </c>
      <c r="E4" s="24" t="s">
        <v>121</v>
      </c>
      <c r="F4" s="24"/>
    </row>
    <row r="5" customFormat="false" ht="15" hidden="false" customHeight="false" outlineLevel="0" collapsed="false">
      <c r="B5" s="4" t="s">
        <v>122</v>
      </c>
      <c r="D5" s="24"/>
      <c r="E5" s="24"/>
      <c r="F5" s="24"/>
    </row>
    <row r="6" customFormat="false" ht="31.5" hidden="false" customHeight="true" outlineLevel="0" collapsed="false">
      <c r="A6" s="7" t="s">
        <v>106</v>
      </c>
      <c r="B6" s="7" t="s">
        <v>107</v>
      </c>
      <c r="C6" s="7" t="s">
        <v>36</v>
      </c>
      <c r="D6" s="7" t="s">
        <v>123</v>
      </c>
      <c r="E6" s="7" t="s">
        <v>124</v>
      </c>
      <c r="F6" s="7" t="s">
        <v>125</v>
      </c>
    </row>
    <row r="7" customFormat="false" ht="15" hidden="false" customHeight="false" outlineLevel="0" collapsed="false">
      <c r="A7" s="19" t="n">
        <v>1</v>
      </c>
      <c r="B7" s="8" t="s">
        <v>126</v>
      </c>
      <c r="C7" s="16" t="n">
        <v>0.15</v>
      </c>
      <c r="D7" s="23"/>
      <c r="E7" s="23"/>
      <c r="F7" s="28"/>
    </row>
    <row r="8" customFormat="false" ht="23.85" hidden="false" customHeight="false" outlineLevel="0" collapsed="false">
      <c r="A8" s="19" t="n">
        <v>2</v>
      </c>
      <c r="B8" s="8" t="s">
        <v>127</v>
      </c>
      <c r="C8" s="16" t="n">
        <v>0.15</v>
      </c>
      <c r="D8" s="23"/>
      <c r="E8" s="23"/>
      <c r="F8" s="28"/>
    </row>
    <row r="9" customFormat="false" ht="15" hidden="false" customHeight="false" outlineLevel="0" collapsed="false">
      <c r="A9" s="19" t="n">
        <v>3</v>
      </c>
      <c r="B9" s="8" t="s">
        <v>128</v>
      </c>
      <c r="C9" s="16" t="n">
        <v>0.15</v>
      </c>
      <c r="D9" s="23"/>
      <c r="E9" s="23"/>
      <c r="F9" s="28"/>
    </row>
    <row r="10" customFormat="false" ht="15" hidden="false" customHeight="false" outlineLevel="0" collapsed="false">
      <c r="A10" s="19" t="n">
        <v>4</v>
      </c>
      <c r="B10" s="8" t="s">
        <v>129</v>
      </c>
      <c r="C10" s="16" t="n">
        <v>0.1</v>
      </c>
      <c r="D10" s="23"/>
      <c r="E10" s="23"/>
      <c r="F10" s="28"/>
    </row>
    <row r="11" customFormat="false" ht="23.85" hidden="false" customHeight="false" outlineLevel="0" collapsed="false">
      <c r="A11" s="19" t="n">
        <v>5</v>
      </c>
      <c r="B11" s="8" t="s">
        <v>130</v>
      </c>
      <c r="C11" s="16" t="n">
        <v>0.1</v>
      </c>
      <c r="D11" s="23"/>
      <c r="E11" s="23"/>
      <c r="F11" s="28"/>
    </row>
    <row r="12" customFormat="false" ht="15" hidden="false" customHeight="false" outlineLevel="0" collapsed="false">
      <c r="A12" s="19" t="n">
        <v>6</v>
      </c>
      <c r="B12" s="8" t="s">
        <v>131</v>
      </c>
      <c r="C12" s="16" t="n">
        <v>0.1</v>
      </c>
      <c r="D12" s="23"/>
      <c r="E12" s="23"/>
      <c r="F12" s="28"/>
    </row>
    <row r="13" customFormat="false" ht="15" hidden="false" customHeight="false" outlineLevel="0" collapsed="false">
      <c r="A13" s="19" t="n">
        <v>7</v>
      </c>
      <c r="B13" s="8" t="s">
        <v>132</v>
      </c>
      <c r="C13" s="16" t="n">
        <v>0.05</v>
      </c>
      <c r="D13" s="23"/>
      <c r="E13" s="23"/>
      <c r="F13" s="28"/>
    </row>
    <row r="14" customFormat="false" ht="15" hidden="false" customHeight="false" outlineLevel="0" collapsed="false">
      <c r="A14" s="19" t="n">
        <v>8</v>
      </c>
      <c r="B14" s="8" t="s">
        <v>133</v>
      </c>
      <c r="C14" s="16" t="n">
        <v>0.1</v>
      </c>
      <c r="D14" s="23"/>
      <c r="E14" s="23"/>
      <c r="F14" s="28"/>
    </row>
    <row r="15" customFormat="false" ht="15" hidden="false" customHeight="false" outlineLevel="0" collapsed="false">
      <c r="A15" s="19" t="n">
        <v>9</v>
      </c>
      <c r="B15" s="8" t="s">
        <v>134</v>
      </c>
      <c r="C15" s="16" t="n">
        <v>0.05</v>
      </c>
      <c r="D15" s="23"/>
      <c r="E15" s="23"/>
      <c r="F15" s="28"/>
    </row>
    <row r="16" customFormat="false" ht="15" hidden="false" customHeight="false" outlineLevel="0" collapsed="false">
      <c r="A16" s="19" t="n">
        <v>10</v>
      </c>
      <c r="B16" s="8" t="s">
        <v>135</v>
      </c>
      <c r="C16" s="16" t="n">
        <v>0.05</v>
      </c>
      <c r="D16" s="23"/>
      <c r="E16" s="23"/>
      <c r="F16" s="28"/>
    </row>
    <row r="17" customFormat="false" ht="15" hidden="false" customHeight="false" outlineLevel="0" collapsed="false">
      <c r="B17" s="13" t="s">
        <v>112</v>
      </c>
      <c r="C17" s="16" t="n">
        <f aca="false">SUM(C7:C16)</f>
        <v>1</v>
      </c>
    </row>
    <row r="18" customFormat="false" ht="15" hidden="false" customHeight="false" outlineLevel="0" collapsed="false">
      <c r="B18" s="13" t="s">
        <v>114</v>
      </c>
      <c r="D18" s="18" t="str">
        <f aca="false">IF(COUNT(D7:D16)&lt;10,"",SUMPRODUCT($C$7:$C$16,D7:D16)/Parametros!$B$9)</f>
        <v/>
      </c>
      <c r="E18" s="18" t="str">
        <f aca="false">IF(COUNT(E7:E16)&lt;10,"",SUMPRODUCT($C$7:$C$16,E7:E16)/Parametros!$B$9)</f>
        <v/>
      </c>
    </row>
    <row r="19" customFormat="false" ht="23.85" hidden="false" customHeight="false" outlineLevel="0" collapsed="false">
      <c r="B19" s="29" t="s">
        <v>136</v>
      </c>
      <c r="D19" s="25" t="str">
        <f aca="false">IF(D18="","",ROUND(IF(D18&lt;Parametros!$B$8,Parametros!$B$5+(Parametros!$B$7-Parametros!$B$5)*D18/Parametros!$B$8,Parametros!$B$7+(Parametros!$B$6-Parametros!$B$7)*(D18-Parametros!$B$8)/(1-Parametros!$B$8)),1))</f>
        <v/>
      </c>
      <c r="E19" s="26" t="str">
        <f aca="false">IF(E18="","",ROUND(IF(E18&lt;Parametros!$B$8,Parametros!$B$5+(Parametros!$B$7-Parametros!$B$5)*E18/Parametros!$B$8,Parametros!$B$7+(Parametros!$B$6-Parametros!$B$7)*(E18-Parametros!$B$8)/(1-Parametros!$B$8)),1))</f>
        <v/>
      </c>
    </row>
    <row r="20" customFormat="false" ht="15" hidden="false" customHeight="false" outlineLevel="0" collapsed="false">
      <c r="D20" s="2" t="s">
        <v>137</v>
      </c>
    </row>
  </sheetData>
  <dataValidations count="1">
    <dataValidation allowBlank="true" error="Ingresar un puntaje entero de 0 a 4" errorStyle="stop" operator="between" showDropDown="false" showErrorMessage="false" showInputMessage="false" sqref="D7:E16" type="whole">
      <formula1>0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2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138</v>
      </c>
    </row>
    <row r="2" customFormat="false" ht="15" hidden="false" customHeight="false" outlineLevel="0" collapsed="false">
      <c r="A2" s="2" t="s">
        <v>139</v>
      </c>
    </row>
    <row r="4" customFormat="false" ht="15" hidden="false" customHeight="false" outlineLevel="0" collapsed="false">
      <c r="A4" s="7" t="s">
        <v>140</v>
      </c>
      <c r="B4" s="7" t="s">
        <v>141</v>
      </c>
      <c r="C4" s="7" t="s">
        <v>142</v>
      </c>
      <c r="D4" s="7" t="s">
        <v>143</v>
      </c>
      <c r="E4" s="7" t="s">
        <v>144</v>
      </c>
      <c r="F4" s="7" t="s">
        <v>145</v>
      </c>
    </row>
    <row r="5" customFormat="false" ht="45" hidden="false" customHeight="true" outlineLevel="0" collapsed="false">
      <c r="A5" s="19" t="s">
        <v>146</v>
      </c>
      <c r="B5" s="22" t="n">
        <v>46334</v>
      </c>
      <c r="C5" s="30"/>
      <c r="D5" s="19" t="str">
        <f aca="false">IF(C5="","",IF(C5&lt;=B5,"SÍ","ATRASADA"))</f>
        <v/>
      </c>
      <c r="E5" s="23"/>
      <c r="F5" s="28"/>
    </row>
    <row r="6" customFormat="false" ht="45" hidden="false" customHeight="true" outlineLevel="0" collapsed="false">
      <c r="A6" s="19" t="s">
        <v>147</v>
      </c>
      <c r="B6" s="22" t="n">
        <v>46341</v>
      </c>
      <c r="C6" s="30"/>
      <c r="D6" s="19" t="str">
        <f aca="false">IF(C6="","",IF(C6&lt;=B6,"SÍ","ATRASADA"))</f>
        <v/>
      </c>
      <c r="E6" s="23"/>
      <c r="F6" s="28"/>
    </row>
    <row r="7" customFormat="false" ht="45" hidden="false" customHeight="true" outlineLevel="0" collapsed="false">
      <c r="A7" s="19" t="s">
        <v>148</v>
      </c>
      <c r="B7" s="22" t="n">
        <v>46348</v>
      </c>
      <c r="C7" s="30"/>
      <c r="D7" s="19" t="str">
        <f aca="false">IF(C7="","",IF(C7&lt;=B7,"SÍ","ATRASADA"))</f>
        <v/>
      </c>
      <c r="E7" s="23"/>
      <c r="F7" s="28"/>
    </row>
    <row r="8" customFormat="false" ht="45" hidden="false" customHeight="true" outlineLevel="0" collapsed="false">
      <c r="A8" s="19" t="s">
        <v>149</v>
      </c>
      <c r="B8" s="22" t="n">
        <v>46355</v>
      </c>
      <c r="C8" s="30"/>
      <c r="D8" s="19" t="str">
        <f aca="false">IF(C8="","",IF(C8&lt;=B8,"SÍ","ATRASADA"))</f>
        <v/>
      </c>
      <c r="E8" s="23"/>
      <c r="F8" s="28"/>
    </row>
    <row r="10" customFormat="false" ht="15" hidden="false" customHeight="false" outlineLevel="0" collapsed="false">
      <c r="D10" s="13" t="s">
        <v>150</v>
      </c>
      <c r="E10" s="19" t="n">
        <f aca="false">COUNTA(C5:C8)</f>
        <v>0</v>
      </c>
      <c r="F10" s="2" t="s">
        <v>151</v>
      </c>
    </row>
    <row r="11" customFormat="false" ht="15" hidden="false" customHeight="false" outlineLevel="0" collapsed="false">
      <c r="D11" s="13" t="s">
        <v>152</v>
      </c>
      <c r="E11" s="15" t="str">
        <f aca="false">IF(COUNT(E5:E8)=0,"",AVERAGE(E5:E8))</f>
        <v/>
      </c>
    </row>
  </sheetData>
  <dataValidations count="1">
    <dataValidation allowBlank="true" errorStyle="stop" operator="between" showDropDown="false" showErrorMessage="false" showInputMessage="false" sqref="E5:E8" type="whole">
      <formula1>0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7" min="4" style="0" width="32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153</v>
      </c>
    </row>
    <row r="2" customFormat="false" ht="15" hidden="false" customHeight="false" outlineLevel="0" collapsed="false">
      <c r="A2" s="2" t="s">
        <v>154</v>
      </c>
    </row>
    <row r="4" customFormat="false" ht="23.85" hidden="false" customHeight="false" outlineLevel="0" collapsed="false">
      <c r="A4" s="7" t="s">
        <v>77</v>
      </c>
      <c r="B4" s="7" t="s">
        <v>155</v>
      </c>
      <c r="C4" s="7" t="s">
        <v>122</v>
      </c>
      <c r="D4" s="7" t="s">
        <v>156</v>
      </c>
      <c r="E4" s="7" t="s">
        <v>157</v>
      </c>
      <c r="F4" s="7" t="s">
        <v>158</v>
      </c>
      <c r="G4" s="7" t="s">
        <v>159</v>
      </c>
      <c r="H4" s="7" t="s">
        <v>160</v>
      </c>
    </row>
    <row r="5" customFormat="false" ht="69.75" hidden="false" customHeight="true" outlineLevel="0" collapsed="false">
      <c r="A5" s="23" t="s">
        <v>161</v>
      </c>
      <c r="B5" s="28" t="s">
        <v>162</v>
      </c>
      <c r="C5" s="28"/>
      <c r="D5" s="28"/>
      <c r="E5" s="28"/>
      <c r="F5" s="28"/>
      <c r="G5" s="28"/>
      <c r="H5" s="28"/>
    </row>
    <row r="6" customFormat="false" ht="69.75" hidden="false" customHeight="true" outlineLevel="0" collapsed="false">
      <c r="A6" s="23" t="s">
        <v>120</v>
      </c>
      <c r="B6" s="28" t="s">
        <v>163</v>
      </c>
      <c r="C6" s="28"/>
      <c r="D6" s="28"/>
      <c r="E6" s="28"/>
      <c r="F6" s="28"/>
      <c r="G6" s="28"/>
      <c r="H6" s="28"/>
    </row>
    <row r="7" customFormat="false" ht="69.75" hidden="false" customHeight="true" outlineLevel="0" collapsed="false">
      <c r="A7" s="23" t="s">
        <v>164</v>
      </c>
      <c r="B7" s="28" t="s">
        <v>165</v>
      </c>
      <c r="C7" s="28"/>
      <c r="D7" s="28"/>
      <c r="E7" s="28"/>
      <c r="F7" s="28"/>
      <c r="G7" s="28"/>
      <c r="H7" s="28"/>
    </row>
    <row r="8" customFormat="false" ht="69.75" hidden="false" customHeight="true" outlineLevel="0" collapsed="false">
      <c r="A8" s="23" t="s">
        <v>166</v>
      </c>
      <c r="B8" s="28" t="s">
        <v>167</v>
      </c>
      <c r="C8" s="28"/>
      <c r="D8" s="28"/>
      <c r="E8" s="28"/>
      <c r="F8" s="28"/>
      <c r="G8" s="28"/>
      <c r="H8" s="28"/>
    </row>
    <row r="9" customFormat="false" ht="69.75" hidden="false" customHeight="true" outlineLevel="0" collapsed="false">
      <c r="A9" s="23" t="s">
        <v>121</v>
      </c>
      <c r="B9" s="28" t="s">
        <v>168</v>
      </c>
      <c r="C9" s="28"/>
      <c r="D9" s="28"/>
      <c r="E9" s="28"/>
      <c r="F9" s="28"/>
      <c r="G9" s="28"/>
      <c r="H9" s="28"/>
    </row>
    <row r="10" customFormat="false" ht="69.75" hidden="false" customHeight="true" outlineLevel="0" collapsed="false">
      <c r="A10" s="23"/>
      <c r="B10" s="28" t="s">
        <v>169</v>
      </c>
      <c r="C10" s="28"/>
      <c r="D10" s="28"/>
      <c r="E10" s="28"/>
      <c r="F10" s="28"/>
      <c r="G10" s="28"/>
      <c r="H10" s="28"/>
    </row>
    <row r="11" customFormat="false" ht="69.75" hidden="false" customHeight="true" outlineLevel="0" collapsed="false">
      <c r="A11" s="23"/>
      <c r="B11" s="28" t="s">
        <v>169</v>
      </c>
      <c r="C11" s="28"/>
      <c r="D11" s="28"/>
      <c r="E11" s="28"/>
      <c r="F11" s="28"/>
      <c r="G11" s="28"/>
      <c r="H11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7" min="4" style="0" width="38"/>
  </cols>
  <sheetData>
    <row r="1" customFormat="false" ht="17.35" hidden="false" customHeight="false" outlineLevel="0" collapsed="false">
      <c r="A1" s="1" t="s">
        <v>170</v>
      </c>
    </row>
    <row r="2" customFormat="false" ht="15" hidden="false" customHeight="false" outlineLevel="0" collapsed="false">
      <c r="A2" s="2" t="s">
        <v>171</v>
      </c>
    </row>
    <row r="4" customFormat="false" ht="15" hidden="false" customHeight="false" outlineLevel="0" collapsed="false">
      <c r="A4" s="7" t="s">
        <v>106</v>
      </c>
      <c r="B4" s="7" t="s">
        <v>107</v>
      </c>
      <c r="C4" s="7" t="s">
        <v>36</v>
      </c>
      <c r="D4" s="7" t="s">
        <v>172</v>
      </c>
      <c r="E4" s="7" t="s">
        <v>173</v>
      </c>
      <c r="F4" s="7" t="s">
        <v>174</v>
      </c>
      <c r="G4" s="7" t="s">
        <v>175</v>
      </c>
    </row>
    <row r="5" customFormat="false" ht="78" hidden="false" customHeight="true" outlineLevel="0" collapsed="false">
      <c r="A5" s="19" t="n">
        <v>1</v>
      </c>
      <c r="B5" s="29" t="s">
        <v>37</v>
      </c>
      <c r="C5" s="16" t="n">
        <v>0.2</v>
      </c>
      <c r="D5" s="8" t="s">
        <v>176</v>
      </c>
      <c r="E5" s="8" t="s">
        <v>177</v>
      </c>
      <c r="F5" s="8" t="s">
        <v>178</v>
      </c>
      <c r="G5" s="8" t="s">
        <v>179</v>
      </c>
    </row>
    <row r="6" customFormat="false" ht="78" hidden="false" customHeight="true" outlineLevel="0" collapsed="false">
      <c r="A6" s="19" t="n">
        <v>2</v>
      </c>
      <c r="B6" s="29" t="s">
        <v>38</v>
      </c>
      <c r="C6" s="16" t="n">
        <v>0.1</v>
      </c>
      <c r="D6" s="8" t="s">
        <v>180</v>
      </c>
      <c r="E6" s="8" t="s">
        <v>181</v>
      </c>
      <c r="F6" s="8" t="s">
        <v>182</v>
      </c>
      <c r="G6" s="8" t="s">
        <v>183</v>
      </c>
    </row>
    <row r="7" customFormat="false" ht="78" hidden="false" customHeight="true" outlineLevel="0" collapsed="false">
      <c r="A7" s="19" t="n">
        <v>3</v>
      </c>
      <c r="B7" s="29" t="s">
        <v>39</v>
      </c>
      <c r="C7" s="16" t="n">
        <v>0.15</v>
      </c>
      <c r="D7" s="8" t="s">
        <v>184</v>
      </c>
      <c r="E7" s="8" t="s">
        <v>185</v>
      </c>
      <c r="F7" s="8" t="s">
        <v>186</v>
      </c>
      <c r="G7" s="8" t="s">
        <v>187</v>
      </c>
    </row>
    <row r="8" customFormat="false" ht="78" hidden="false" customHeight="true" outlineLevel="0" collapsed="false">
      <c r="A8" s="19" t="n">
        <v>4</v>
      </c>
      <c r="B8" s="29" t="s">
        <v>40</v>
      </c>
      <c r="C8" s="16" t="n">
        <v>0.15</v>
      </c>
      <c r="D8" s="8" t="s">
        <v>188</v>
      </c>
      <c r="E8" s="8" t="s">
        <v>189</v>
      </c>
      <c r="F8" s="8" t="s">
        <v>190</v>
      </c>
      <c r="G8" s="8" t="s">
        <v>191</v>
      </c>
    </row>
    <row r="9" customFormat="false" ht="78" hidden="false" customHeight="true" outlineLevel="0" collapsed="false">
      <c r="A9" s="19" t="n">
        <v>5</v>
      </c>
      <c r="B9" s="29" t="s">
        <v>41</v>
      </c>
      <c r="C9" s="16" t="n">
        <v>0.2</v>
      </c>
      <c r="D9" s="8" t="s">
        <v>192</v>
      </c>
      <c r="E9" s="8" t="s">
        <v>193</v>
      </c>
      <c r="F9" s="8" t="s">
        <v>194</v>
      </c>
      <c r="G9" s="8" t="s">
        <v>195</v>
      </c>
    </row>
    <row r="10" customFormat="false" ht="78" hidden="false" customHeight="true" outlineLevel="0" collapsed="false">
      <c r="A10" s="19" t="n">
        <v>6</v>
      </c>
      <c r="B10" s="29" t="s">
        <v>42</v>
      </c>
      <c r="C10" s="16" t="n">
        <v>0.05</v>
      </c>
      <c r="D10" s="8" t="s">
        <v>196</v>
      </c>
      <c r="E10" s="8" t="s">
        <v>197</v>
      </c>
      <c r="F10" s="8" t="s">
        <v>198</v>
      </c>
      <c r="G10" s="8" t="s">
        <v>199</v>
      </c>
    </row>
    <row r="11" customFormat="false" ht="78" hidden="false" customHeight="true" outlineLevel="0" collapsed="false">
      <c r="A11" s="19" t="n">
        <v>7</v>
      </c>
      <c r="B11" s="29" t="s">
        <v>43</v>
      </c>
      <c r="C11" s="16" t="n">
        <v>0.05</v>
      </c>
      <c r="D11" s="8" t="s">
        <v>200</v>
      </c>
      <c r="E11" s="8" t="s">
        <v>201</v>
      </c>
      <c r="F11" s="8" t="s">
        <v>202</v>
      </c>
      <c r="G11" s="8" t="s">
        <v>203</v>
      </c>
    </row>
    <row r="12" customFormat="false" ht="78" hidden="false" customHeight="true" outlineLevel="0" collapsed="false">
      <c r="A12" s="19" t="n">
        <v>8</v>
      </c>
      <c r="B12" s="29" t="s">
        <v>44</v>
      </c>
      <c r="C12" s="16" t="n">
        <v>0.1</v>
      </c>
      <c r="D12" s="8" t="s">
        <v>204</v>
      </c>
      <c r="E12" s="8" t="s">
        <v>205</v>
      </c>
      <c r="F12" s="8" t="s">
        <v>206</v>
      </c>
      <c r="G12" s="8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7" min="4" style="0" width="38"/>
  </cols>
  <sheetData>
    <row r="1" customFormat="false" ht="17.35" hidden="false" customHeight="false" outlineLevel="0" collapsed="false">
      <c r="A1" s="1" t="s">
        <v>208</v>
      </c>
    </row>
    <row r="2" customFormat="false" ht="15" hidden="false" customHeight="false" outlineLevel="0" collapsed="false">
      <c r="A2" s="2" t="s">
        <v>171</v>
      </c>
    </row>
    <row r="4" customFormat="false" ht="15" hidden="false" customHeight="false" outlineLevel="0" collapsed="false">
      <c r="A4" s="7" t="s">
        <v>106</v>
      </c>
      <c r="B4" s="7" t="s">
        <v>107</v>
      </c>
      <c r="C4" s="7" t="s">
        <v>36</v>
      </c>
      <c r="D4" s="7" t="s">
        <v>172</v>
      </c>
      <c r="E4" s="7" t="s">
        <v>173</v>
      </c>
      <c r="F4" s="7" t="s">
        <v>174</v>
      </c>
      <c r="G4" s="7" t="s">
        <v>175</v>
      </c>
    </row>
    <row r="5" customFormat="false" ht="78" hidden="false" customHeight="true" outlineLevel="0" collapsed="false">
      <c r="A5" s="19" t="n">
        <v>1</v>
      </c>
      <c r="B5" s="29" t="s">
        <v>126</v>
      </c>
      <c r="C5" s="16" t="n">
        <v>0.15</v>
      </c>
      <c r="D5" s="8" t="s">
        <v>209</v>
      </c>
      <c r="E5" s="8" t="s">
        <v>210</v>
      </c>
      <c r="F5" s="8" t="s">
        <v>211</v>
      </c>
      <c r="G5" s="8" t="s">
        <v>212</v>
      </c>
    </row>
    <row r="6" customFormat="false" ht="78" hidden="false" customHeight="true" outlineLevel="0" collapsed="false">
      <c r="A6" s="19" t="n">
        <v>2</v>
      </c>
      <c r="B6" s="29" t="s">
        <v>127</v>
      </c>
      <c r="C6" s="16" t="n">
        <v>0.15</v>
      </c>
      <c r="D6" s="8" t="s">
        <v>213</v>
      </c>
      <c r="E6" s="8" t="s">
        <v>214</v>
      </c>
      <c r="F6" s="8" t="s">
        <v>215</v>
      </c>
      <c r="G6" s="8" t="s">
        <v>216</v>
      </c>
    </row>
    <row r="7" customFormat="false" ht="78" hidden="false" customHeight="true" outlineLevel="0" collapsed="false">
      <c r="A7" s="19" t="n">
        <v>3</v>
      </c>
      <c r="B7" s="29" t="s">
        <v>128</v>
      </c>
      <c r="C7" s="16" t="n">
        <v>0.15</v>
      </c>
      <c r="D7" s="8" t="s">
        <v>217</v>
      </c>
      <c r="E7" s="8" t="s">
        <v>218</v>
      </c>
      <c r="F7" s="8" t="s">
        <v>219</v>
      </c>
      <c r="G7" s="8" t="s">
        <v>220</v>
      </c>
    </row>
    <row r="8" customFormat="false" ht="78" hidden="false" customHeight="true" outlineLevel="0" collapsed="false">
      <c r="A8" s="19" t="n">
        <v>4</v>
      </c>
      <c r="B8" s="29" t="s">
        <v>129</v>
      </c>
      <c r="C8" s="16" t="n">
        <v>0.1</v>
      </c>
      <c r="D8" s="8" t="s">
        <v>221</v>
      </c>
      <c r="E8" s="8" t="s">
        <v>222</v>
      </c>
      <c r="F8" s="8" t="s">
        <v>223</v>
      </c>
      <c r="G8" s="8" t="s">
        <v>224</v>
      </c>
    </row>
    <row r="9" customFormat="false" ht="78" hidden="false" customHeight="true" outlineLevel="0" collapsed="false">
      <c r="A9" s="19" t="n">
        <v>5</v>
      </c>
      <c r="B9" s="29" t="s">
        <v>130</v>
      </c>
      <c r="C9" s="16" t="n">
        <v>0.1</v>
      </c>
      <c r="D9" s="8" t="s">
        <v>225</v>
      </c>
      <c r="E9" s="8" t="s">
        <v>226</v>
      </c>
      <c r="F9" s="8" t="s">
        <v>227</v>
      </c>
      <c r="G9" s="8" t="s">
        <v>228</v>
      </c>
    </row>
    <row r="10" customFormat="false" ht="78" hidden="false" customHeight="true" outlineLevel="0" collapsed="false">
      <c r="A10" s="19" t="n">
        <v>6</v>
      </c>
      <c r="B10" s="29" t="s">
        <v>131</v>
      </c>
      <c r="C10" s="16" t="n">
        <v>0.1</v>
      </c>
      <c r="D10" s="8" t="s">
        <v>229</v>
      </c>
      <c r="E10" s="8" t="s">
        <v>230</v>
      </c>
      <c r="F10" s="8" t="s">
        <v>231</v>
      </c>
      <c r="G10" s="8" t="s">
        <v>232</v>
      </c>
    </row>
    <row r="11" customFormat="false" ht="78" hidden="false" customHeight="true" outlineLevel="0" collapsed="false">
      <c r="A11" s="19" t="n">
        <v>7</v>
      </c>
      <c r="B11" s="29" t="s">
        <v>132</v>
      </c>
      <c r="C11" s="16" t="n">
        <v>0.05</v>
      </c>
      <c r="D11" s="8" t="s">
        <v>233</v>
      </c>
      <c r="E11" s="8" t="s">
        <v>234</v>
      </c>
      <c r="F11" s="8" t="s">
        <v>235</v>
      </c>
      <c r="G11" s="8" t="s">
        <v>236</v>
      </c>
    </row>
    <row r="12" customFormat="false" ht="78" hidden="false" customHeight="true" outlineLevel="0" collapsed="false">
      <c r="A12" s="19" t="n">
        <v>8</v>
      </c>
      <c r="B12" s="29" t="s">
        <v>133</v>
      </c>
      <c r="C12" s="16" t="n">
        <v>0.1</v>
      </c>
      <c r="D12" s="8" t="s">
        <v>237</v>
      </c>
      <c r="E12" s="8" t="s">
        <v>238</v>
      </c>
      <c r="F12" s="8" t="s">
        <v>239</v>
      </c>
      <c r="G12" s="8" t="s">
        <v>240</v>
      </c>
    </row>
    <row r="13" customFormat="false" ht="78" hidden="false" customHeight="true" outlineLevel="0" collapsed="false">
      <c r="A13" s="19" t="n">
        <v>9</v>
      </c>
      <c r="B13" s="29" t="s">
        <v>134</v>
      </c>
      <c r="C13" s="16" t="n">
        <v>0.05</v>
      </c>
      <c r="D13" s="8" t="s">
        <v>241</v>
      </c>
      <c r="E13" s="8" t="s">
        <v>242</v>
      </c>
      <c r="F13" s="8" t="s">
        <v>243</v>
      </c>
      <c r="G13" s="8" t="s">
        <v>244</v>
      </c>
    </row>
    <row r="14" customFormat="false" ht="78" hidden="false" customHeight="true" outlineLevel="0" collapsed="false">
      <c r="A14" s="19" t="n">
        <v>10</v>
      </c>
      <c r="B14" s="29" t="s">
        <v>135</v>
      </c>
      <c r="C14" s="16" t="n">
        <v>0.05</v>
      </c>
      <c r="D14" s="8" t="s">
        <v>245</v>
      </c>
      <c r="E14" s="8" t="s">
        <v>246</v>
      </c>
      <c r="F14" s="8" t="s">
        <v>247</v>
      </c>
      <c r="G14" s="8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"/>
    <col collapsed="false" customWidth="true" hidden="false" outlineLevel="0" max="5" min="4" style="0" width="12"/>
    <col collapsed="false" customWidth="true" hidden="false" outlineLevel="0" max="6" min="6" style="0" width="3"/>
    <col collapsed="false" customWidth="true" hidden="false" outlineLevel="0" max="8" min="7" style="0" width="12"/>
  </cols>
  <sheetData>
    <row r="1" customFormat="false" ht="17.35" hidden="false" customHeight="false" outlineLevel="0" collapsed="false">
      <c r="A1" s="1" t="s">
        <v>249</v>
      </c>
    </row>
    <row r="2" customFormat="false" ht="15" hidden="false" customHeight="false" outlineLevel="0" collapsed="false">
      <c r="A2" s="2" t="s">
        <v>250</v>
      </c>
    </row>
    <row r="4" customFormat="false" ht="15" hidden="false" customHeight="false" outlineLevel="0" collapsed="false">
      <c r="A4" s="7" t="s">
        <v>25</v>
      </c>
      <c r="B4" s="7" t="s">
        <v>27</v>
      </c>
      <c r="C4" s="7"/>
      <c r="D4" s="7" t="s">
        <v>25</v>
      </c>
      <c r="E4" s="7" t="s">
        <v>27</v>
      </c>
      <c r="F4" s="7"/>
      <c r="G4" s="7" t="s">
        <v>25</v>
      </c>
      <c r="H4" s="7" t="s">
        <v>27</v>
      </c>
    </row>
    <row r="5" customFormat="false" ht="15" hidden="false" customHeight="false" outlineLevel="0" collapsed="false">
      <c r="A5" s="16" t="n">
        <v>0</v>
      </c>
      <c r="B5" s="15" t="n">
        <f aca="false">ROUND(IF(A5&lt;Parametros!$B$8,Parametros!$B$5+(Parametros!$B$7-Parametros!$B$5)*A5/Parametros!$B$8,Parametros!$B$7+(Parametros!$B$6-Parametros!$B$7)*(A5-Parametros!$B$8)/(1-Parametros!$B$8)),1)</f>
        <v>1</v>
      </c>
      <c r="D5" s="16" t="n">
        <v>0.34</v>
      </c>
      <c r="E5" s="15" t="n">
        <f aca="false">ROUND(IF(D5&lt;Parametros!$B$8,Parametros!$B$5+(Parametros!$B$7-Parametros!$B$5)*D5/Parametros!$B$8,Parametros!$B$7+(Parametros!$B$6-Parametros!$B$7)*(D5-Parametros!$B$8)/(1-Parametros!$B$8)),1)</f>
        <v>2.7</v>
      </c>
      <c r="G5" s="16" t="n">
        <v>0.68</v>
      </c>
      <c r="H5" s="15" t="n">
        <f aca="false">ROUND(IF(G5&lt;Parametros!$B$8,Parametros!$B$5+(Parametros!$B$7-Parametros!$B$5)*G5/Parametros!$B$8,Parametros!$B$7+(Parametros!$B$6-Parametros!$B$7)*(G5-Parametros!$B$8)/(1-Parametros!$B$8)),1)</f>
        <v>4.6</v>
      </c>
    </row>
    <row r="6" customFormat="false" ht="15" hidden="false" customHeight="false" outlineLevel="0" collapsed="false">
      <c r="A6" s="16" t="n">
        <v>0.01</v>
      </c>
      <c r="B6" s="15" t="n">
        <f aca="false">ROUND(IF(A6&lt;Parametros!$B$8,Parametros!$B$5+(Parametros!$B$7-Parametros!$B$5)*A6/Parametros!$B$8,Parametros!$B$7+(Parametros!$B$6-Parametros!$B$7)*(A6-Parametros!$B$8)/(1-Parametros!$B$8)),1)</f>
        <v>1.1</v>
      </c>
      <c r="D6" s="16" t="n">
        <v>0.35</v>
      </c>
      <c r="E6" s="15" t="n">
        <f aca="false">ROUND(IF(D6&lt;Parametros!$B$8,Parametros!$B$5+(Parametros!$B$7-Parametros!$B$5)*D6/Parametros!$B$8,Parametros!$B$7+(Parametros!$B$6-Parametros!$B$7)*(D6-Parametros!$B$8)/(1-Parametros!$B$8)),1)</f>
        <v>2.8</v>
      </c>
      <c r="G6" s="16" t="n">
        <v>0.69</v>
      </c>
      <c r="H6" s="15" t="n">
        <f aca="false">ROUND(IF(G6&lt;Parametros!$B$8,Parametros!$B$5+(Parametros!$B$7-Parametros!$B$5)*G6/Parametros!$B$8,Parametros!$B$7+(Parametros!$B$6-Parametros!$B$7)*(G6-Parametros!$B$8)/(1-Parametros!$B$8)),1)</f>
        <v>4.7</v>
      </c>
    </row>
    <row r="7" customFormat="false" ht="15" hidden="false" customHeight="false" outlineLevel="0" collapsed="false">
      <c r="A7" s="16" t="n">
        <v>0.02</v>
      </c>
      <c r="B7" s="15" t="n">
        <f aca="false">ROUND(IF(A7&lt;Parametros!$B$8,Parametros!$B$5+(Parametros!$B$7-Parametros!$B$5)*A7/Parametros!$B$8,Parametros!$B$7+(Parametros!$B$6-Parametros!$B$7)*(A7-Parametros!$B$8)/(1-Parametros!$B$8)),1)</f>
        <v>1.1</v>
      </c>
      <c r="D7" s="16" t="n">
        <v>0.36</v>
      </c>
      <c r="E7" s="15" t="n">
        <f aca="false">ROUND(IF(D7&lt;Parametros!$B$8,Parametros!$B$5+(Parametros!$B$7-Parametros!$B$5)*D7/Parametros!$B$8,Parametros!$B$7+(Parametros!$B$6-Parametros!$B$7)*(D7-Parametros!$B$8)/(1-Parametros!$B$8)),1)</f>
        <v>2.8</v>
      </c>
      <c r="G7" s="16" t="n">
        <v>0.7</v>
      </c>
      <c r="H7" s="15" t="n">
        <f aca="false">ROUND(IF(G7&lt;Parametros!$B$8,Parametros!$B$5+(Parametros!$B$7-Parametros!$B$5)*G7/Parametros!$B$8,Parametros!$B$7+(Parametros!$B$6-Parametros!$B$7)*(G7-Parametros!$B$8)/(1-Parametros!$B$8)),1)</f>
        <v>4.8</v>
      </c>
    </row>
    <row r="8" customFormat="false" ht="15" hidden="false" customHeight="false" outlineLevel="0" collapsed="false">
      <c r="A8" s="16" t="n">
        <v>0.03</v>
      </c>
      <c r="B8" s="15" t="n">
        <f aca="false">ROUND(IF(A8&lt;Parametros!$B$8,Parametros!$B$5+(Parametros!$B$7-Parametros!$B$5)*A8/Parametros!$B$8,Parametros!$B$7+(Parametros!$B$6-Parametros!$B$7)*(A8-Parametros!$B$8)/(1-Parametros!$B$8)),1)</f>
        <v>1.2</v>
      </c>
      <c r="D8" s="16" t="n">
        <v>0.37</v>
      </c>
      <c r="E8" s="15" t="n">
        <f aca="false">ROUND(IF(D8&lt;Parametros!$B$8,Parametros!$B$5+(Parametros!$B$7-Parametros!$B$5)*D8/Parametros!$B$8,Parametros!$B$7+(Parametros!$B$6-Parametros!$B$7)*(D8-Parametros!$B$8)/(1-Parametros!$B$8)),1)</f>
        <v>2.9</v>
      </c>
      <c r="G8" s="16" t="n">
        <v>0.71</v>
      </c>
      <c r="H8" s="15" t="n">
        <f aca="false">ROUND(IF(G8&lt;Parametros!$B$8,Parametros!$B$5+(Parametros!$B$7-Parametros!$B$5)*G8/Parametros!$B$8,Parametros!$B$7+(Parametros!$B$6-Parametros!$B$7)*(G8-Parametros!$B$8)/(1-Parametros!$B$8)),1)</f>
        <v>4.8</v>
      </c>
    </row>
    <row r="9" customFormat="false" ht="15" hidden="false" customHeight="false" outlineLevel="0" collapsed="false">
      <c r="A9" s="16" t="n">
        <v>0.04</v>
      </c>
      <c r="B9" s="15" t="n">
        <f aca="false">ROUND(IF(A9&lt;Parametros!$B$8,Parametros!$B$5+(Parametros!$B$7-Parametros!$B$5)*A9/Parametros!$B$8,Parametros!$B$7+(Parametros!$B$6-Parametros!$B$7)*(A9-Parametros!$B$8)/(1-Parametros!$B$8)),1)</f>
        <v>1.2</v>
      </c>
      <c r="D9" s="16" t="n">
        <v>0.38</v>
      </c>
      <c r="E9" s="15" t="n">
        <f aca="false">ROUND(IF(D9&lt;Parametros!$B$8,Parametros!$B$5+(Parametros!$B$7-Parametros!$B$5)*D9/Parametros!$B$8,Parametros!$B$7+(Parametros!$B$6-Parametros!$B$7)*(D9-Parametros!$B$8)/(1-Parametros!$B$8)),1)</f>
        <v>2.9</v>
      </c>
      <c r="G9" s="16" t="n">
        <v>0.72</v>
      </c>
      <c r="H9" s="15" t="n">
        <f aca="false">ROUND(IF(G9&lt;Parametros!$B$8,Parametros!$B$5+(Parametros!$B$7-Parametros!$B$5)*G9/Parametros!$B$8,Parametros!$B$7+(Parametros!$B$6-Parametros!$B$7)*(G9-Parametros!$B$8)/(1-Parametros!$B$8)),1)</f>
        <v>4.9</v>
      </c>
    </row>
    <row r="10" customFormat="false" ht="15" hidden="false" customHeight="false" outlineLevel="0" collapsed="false">
      <c r="A10" s="16" t="n">
        <v>0.05</v>
      </c>
      <c r="B10" s="15" t="n">
        <f aca="false">ROUND(IF(A10&lt;Parametros!$B$8,Parametros!$B$5+(Parametros!$B$7-Parametros!$B$5)*A10/Parametros!$B$8,Parametros!$B$7+(Parametros!$B$6-Parametros!$B$7)*(A10-Parametros!$B$8)/(1-Parametros!$B$8)),1)</f>
        <v>1.3</v>
      </c>
      <c r="D10" s="16" t="n">
        <v>0.39</v>
      </c>
      <c r="E10" s="15" t="n">
        <f aca="false">ROUND(IF(D10&lt;Parametros!$B$8,Parametros!$B$5+(Parametros!$B$7-Parametros!$B$5)*D10/Parametros!$B$8,Parametros!$B$7+(Parametros!$B$6-Parametros!$B$7)*(D10-Parametros!$B$8)/(1-Parametros!$B$8)),1)</f>
        <v>3</v>
      </c>
      <c r="G10" s="16" t="n">
        <v>0.73</v>
      </c>
      <c r="H10" s="15" t="n">
        <f aca="false">ROUND(IF(G10&lt;Parametros!$B$8,Parametros!$B$5+(Parametros!$B$7-Parametros!$B$5)*G10/Parametros!$B$8,Parametros!$B$7+(Parametros!$B$6-Parametros!$B$7)*(G10-Parametros!$B$8)/(1-Parametros!$B$8)),1)</f>
        <v>5</v>
      </c>
    </row>
    <row r="11" customFormat="false" ht="15" hidden="false" customHeight="false" outlineLevel="0" collapsed="false">
      <c r="A11" s="16" t="n">
        <v>0.06</v>
      </c>
      <c r="B11" s="15" t="n">
        <f aca="false">ROUND(IF(A11&lt;Parametros!$B$8,Parametros!$B$5+(Parametros!$B$7-Parametros!$B$5)*A11/Parametros!$B$8,Parametros!$B$7+(Parametros!$B$6-Parametros!$B$7)*(A11-Parametros!$B$8)/(1-Parametros!$B$8)),1)</f>
        <v>1.3</v>
      </c>
      <c r="D11" s="16" t="n">
        <v>0.4</v>
      </c>
      <c r="E11" s="15" t="n">
        <f aca="false">ROUND(IF(D11&lt;Parametros!$B$8,Parametros!$B$5+(Parametros!$B$7-Parametros!$B$5)*D11/Parametros!$B$8,Parametros!$B$7+(Parametros!$B$6-Parametros!$B$7)*(D11-Parametros!$B$8)/(1-Parametros!$B$8)),1)</f>
        <v>3</v>
      </c>
      <c r="G11" s="16" t="n">
        <v>0.74</v>
      </c>
      <c r="H11" s="15" t="n">
        <f aca="false">ROUND(IF(G11&lt;Parametros!$B$8,Parametros!$B$5+(Parametros!$B$7-Parametros!$B$5)*G11/Parametros!$B$8,Parametros!$B$7+(Parametros!$B$6-Parametros!$B$7)*(G11-Parametros!$B$8)/(1-Parametros!$B$8)),1)</f>
        <v>5.1</v>
      </c>
    </row>
    <row r="12" customFormat="false" ht="15" hidden="false" customHeight="false" outlineLevel="0" collapsed="false">
      <c r="A12" s="16" t="n">
        <v>0.07</v>
      </c>
      <c r="B12" s="15" t="n">
        <f aca="false">ROUND(IF(A12&lt;Parametros!$B$8,Parametros!$B$5+(Parametros!$B$7-Parametros!$B$5)*A12/Parametros!$B$8,Parametros!$B$7+(Parametros!$B$6-Parametros!$B$7)*(A12-Parametros!$B$8)/(1-Parametros!$B$8)),1)</f>
        <v>1.4</v>
      </c>
      <c r="D12" s="16" t="n">
        <v>0.41</v>
      </c>
      <c r="E12" s="15" t="n">
        <f aca="false">ROUND(IF(D12&lt;Parametros!$B$8,Parametros!$B$5+(Parametros!$B$7-Parametros!$B$5)*D12/Parametros!$B$8,Parametros!$B$7+(Parametros!$B$6-Parametros!$B$7)*(D12-Parametros!$B$8)/(1-Parametros!$B$8)),1)</f>
        <v>3.1</v>
      </c>
      <c r="G12" s="16" t="n">
        <v>0.75</v>
      </c>
      <c r="H12" s="15" t="n">
        <f aca="false">ROUND(IF(G12&lt;Parametros!$B$8,Parametros!$B$5+(Parametros!$B$7-Parametros!$B$5)*G12/Parametros!$B$8,Parametros!$B$7+(Parametros!$B$6-Parametros!$B$7)*(G12-Parametros!$B$8)/(1-Parametros!$B$8)),1)</f>
        <v>5.1</v>
      </c>
    </row>
    <row r="13" customFormat="false" ht="15" hidden="false" customHeight="false" outlineLevel="0" collapsed="false">
      <c r="A13" s="16" t="n">
        <v>0.08</v>
      </c>
      <c r="B13" s="15" t="n">
        <f aca="false">ROUND(IF(A13&lt;Parametros!$B$8,Parametros!$B$5+(Parametros!$B$7-Parametros!$B$5)*A13/Parametros!$B$8,Parametros!$B$7+(Parametros!$B$6-Parametros!$B$7)*(A13-Parametros!$B$8)/(1-Parametros!$B$8)),1)</f>
        <v>1.4</v>
      </c>
      <c r="D13" s="16" t="n">
        <v>0.42</v>
      </c>
      <c r="E13" s="15" t="n">
        <f aca="false">ROUND(IF(D13&lt;Parametros!$B$8,Parametros!$B$5+(Parametros!$B$7-Parametros!$B$5)*D13/Parametros!$B$8,Parametros!$B$7+(Parametros!$B$6-Parametros!$B$7)*(D13-Parametros!$B$8)/(1-Parametros!$B$8)),1)</f>
        <v>3.1</v>
      </c>
      <c r="G13" s="16" t="n">
        <v>0.76</v>
      </c>
      <c r="H13" s="15" t="n">
        <f aca="false">ROUND(IF(G13&lt;Parametros!$B$8,Parametros!$B$5+(Parametros!$B$7-Parametros!$B$5)*G13/Parametros!$B$8,Parametros!$B$7+(Parametros!$B$6-Parametros!$B$7)*(G13-Parametros!$B$8)/(1-Parametros!$B$8)),1)</f>
        <v>5.2</v>
      </c>
    </row>
    <row r="14" customFormat="false" ht="15" hidden="false" customHeight="false" outlineLevel="0" collapsed="false">
      <c r="A14" s="16" t="n">
        <v>0.09</v>
      </c>
      <c r="B14" s="15" t="n">
        <f aca="false">ROUND(IF(A14&lt;Parametros!$B$8,Parametros!$B$5+(Parametros!$B$7-Parametros!$B$5)*A14/Parametros!$B$8,Parametros!$B$7+(Parametros!$B$6-Parametros!$B$7)*(A14-Parametros!$B$8)/(1-Parametros!$B$8)),1)</f>
        <v>1.5</v>
      </c>
      <c r="D14" s="16" t="n">
        <v>0.43</v>
      </c>
      <c r="E14" s="15" t="n">
        <f aca="false">ROUND(IF(D14&lt;Parametros!$B$8,Parametros!$B$5+(Parametros!$B$7-Parametros!$B$5)*D14/Parametros!$B$8,Parametros!$B$7+(Parametros!$B$6-Parametros!$B$7)*(D14-Parametros!$B$8)/(1-Parametros!$B$8)),1)</f>
        <v>3.2</v>
      </c>
      <c r="G14" s="16" t="n">
        <v>0.77</v>
      </c>
      <c r="H14" s="15" t="n">
        <f aca="false">ROUND(IF(G14&lt;Parametros!$B$8,Parametros!$B$5+(Parametros!$B$7-Parametros!$B$5)*G14/Parametros!$B$8,Parametros!$B$7+(Parametros!$B$6-Parametros!$B$7)*(G14-Parametros!$B$8)/(1-Parametros!$B$8)),1)</f>
        <v>5.3</v>
      </c>
    </row>
    <row r="15" customFormat="false" ht="15" hidden="false" customHeight="false" outlineLevel="0" collapsed="false">
      <c r="A15" s="16" t="n">
        <v>0.1</v>
      </c>
      <c r="B15" s="15" t="n">
        <f aca="false">ROUND(IF(A15&lt;Parametros!$B$8,Parametros!$B$5+(Parametros!$B$7-Parametros!$B$5)*A15/Parametros!$B$8,Parametros!$B$7+(Parametros!$B$6-Parametros!$B$7)*(A15-Parametros!$B$8)/(1-Parametros!$B$8)),1)</f>
        <v>1.5</v>
      </c>
      <c r="D15" s="16" t="n">
        <v>0.44</v>
      </c>
      <c r="E15" s="15" t="n">
        <f aca="false">ROUND(IF(D15&lt;Parametros!$B$8,Parametros!$B$5+(Parametros!$B$7-Parametros!$B$5)*D15/Parametros!$B$8,Parametros!$B$7+(Parametros!$B$6-Parametros!$B$7)*(D15-Parametros!$B$8)/(1-Parametros!$B$8)),1)</f>
        <v>3.2</v>
      </c>
      <c r="G15" s="16" t="n">
        <v>0.78</v>
      </c>
      <c r="H15" s="15" t="n">
        <f aca="false">ROUND(IF(G15&lt;Parametros!$B$8,Parametros!$B$5+(Parametros!$B$7-Parametros!$B$5)*G15/Parametros!$B$8,Parametros!$B$7+(Parametros!$B$6-Parametros!$B$7)*(G15-Parametros!$B$8)/(1-Parametros!$B$8)),1)</f>
        <v>5.4</v>
      </c>
    </row>
    <row r="16" customFormat="false" ht="15" hidden="false" customHeight="false" outlineLevel="0" collapsed="false">
      <c r="A16" s="16" t="n">
        <v>0.11</v>
      </c>
      <c r="B16" s="15" t="n">
        <f aca="false">ROUND(IF(A16&lt;Parametros!$B$8,Parametros!$B$5+(Parametros!$B$7-Parametros!$B$5)*A16/Parametros!$B$8,Parametros!$B$7+(Parametros!$B$6-Parametros!$B$7)*(A16-Parametros!$B$8)/(1-Parametros!$B$8)),1)</f>
        <v>1.6</v>
      </c>
      <c r="D16" s="16" t="n">
        <v>0.45</v>
      </c>
      <c r="E16" s="15" t="n">
        <f aca="false">ROUND(IF(D16&lt;Parametros!$B$8,Parametros!$B$5+(Parametros!$B$7-Parametros!$B$5)*D16/Parametros!$B$8,Parametros!$B$7+(Parametros!$B$6-Parametros!$B$7)*(D16-Parametros!$B$8)/(1-Parametros!$B$8)),1)</f>
        <v>3.3</v>
      </c>
      <c r="G16" s="16" t="n">
        <v>0.79</v>
      </c>
      <c r="H16" s="15" t="n">
        <f aca="false">ROUND(IF(G16&lt;Parametros!$B$8,Parametros!$B$5+(Parametros!$B$7-Parametros!$B$5)*G16/Parametros!$B$8,Parametros!$B$7+(Parametros!$B$6-Parametros!$B$7)*(G16-Parametros!$B$8)/(1-Parametros!$B$8)),1)</f>
        <v>5.4</v>
      </c>
    </row>
    <row r="17" customFormat="false" ht="15" hidden="false" customHeight="false" outlineLevel="0" collapsed="false">
      <c r="A17" s="16" t="n">
        <v>0.12</v>
      </c>
      <c r="B17" s="15" t="n">
        <f aca="false">ROUND(IF(A17&lt;Parametros!$B$8,Parametros!$B$5+(Parametros!$B$7-Parametros!$B$5)*A17/Parametros!$B$8,Parametros!$B$7+(Parametros!$B$6-Parametros!$B$7)*(A17-Parametros!$B$8)/(1-Parametros!$B$8)),1)</f>
        <v>1.6</v>
      </c>
      <c r="D17" s="16" t="n">
        <v>0.46</v>
      </c>
      <c r="E17" s="15" t="n">
        <f aca="false">ROUND(IF(D17&lt;Parametros!$B$8,Parametros!$B$5+(Parametros!$B$7-Parametros!$B$5)*D17/Parametros!$B$8,Parametros!$B$7+(Parametros!$B$6-Parametros!$B$7)*(D17-Parametros!$B$8)/(1-Parametros!$B$8)),1)</f>
        <v>3.3</v>
      </c>
      <c r="G17" s="16" t="n">
        <v>0.8</v>
      </c>
      <c r="H17" s="15" t="n">
        <f aca="false">ROUND(IF(G17&lt;Parametros!$B$8,Parametros!$B$5+(Parametros!$B$7-Parametros!$B$5)*G17/Parametros!$B$8,Parametros!$B$7+(Parametros!$B$6-Parametros!$B$7)*(G17-Parametros!$B$8)/(1-Parametros!$B$8)),1)</f>
        <v>5.5</v>
      </c>
    </row>
    <row r="18" customFormat="false" ht="15" hidden="false" customHeight="false" outlineLevel="0" collapsed="false">
      <c r="A18" s="16" t="n">
        <v>0.13</v>
      </c>
      <c r="B18" s="15" t="n">
        <f aca="false">ROUND(IF(A18&lt;Parametros!$B$8,Parametros!$B$5+(Parametros!$B$7-Parametros!$B$5)*A18/Parametros!$B$8,Parametros!$B$7+(Parametros!$B$6-Parametros!$B$7)*(A18-Parametros!$B$8)/(1-Parametros!$B$8)),1)</f>
        <v>1.7</v>
      </c>
      <c r="D18" s="16" t="n">
        <v>0.47</v>
      </c>
      <c r="E18" s="15" t="n">
        <f aca="false">ROUND(IF(D18&lt;Parametros!$B$8,Parametros!$B$5+(Parametros!$B$7-Parametros!$B$5)*D18/Parametros!$B$8,Parametros!$B$7+(Parametros!$B$6-Parametros!$B$7)*(D18-Parametros!$B$8)/(1-Parametros!$B$8)),1)</f>
        <v>3.4</v>
      </c>
      <c r="G18" s="16" t="n">
        <v>0.81</v>
      </c>
      <c r="H18" s="15" t="n">
        <f aca="false">ROUND(IF(G18&lt;Parametros!$B$8,Parametros!$B$5+(Parametros!$B$7-Parametros!$B$5)*G18/Parametros!$B$8,Parametros!$B$7+(Parametros!$B$6-Parametros!$B$7)*(G18-Parametros!$B$8)/(1-Parametros!$B$8)),1)</f>
        <v>5.6</v>
      </c>
    </row>
    <row r="19" customFormat="false" ht="15" hidden="false" customHeight="false" outlineLevel="0" collapsed="false">
      <c r="A19" s="16" t="n">
        <v>0.14</v>
      </c>
      <c r="B19" s="15" t="n">
        <f aca="false">ROUND(IF(A19&lt;Parametros!$B$8,Parametros!$B$5+(Parametros!$B$7-Parametros!$B$5)*A19/Parametros!$B$8,Parametros!$B$7+(Parametros!$B$6-Parametros!$B$7)*(A19-Parametros!$B$8)/(1-Parametros!$B$8)),1)</f>
        <v>1.7</v>
      </c>
      <c r="D19" s="16" t="n">
        <v>0.48</v>
      </c>
      <c r="E19" s="15" t="n">
        <f aca="false">ROUND(IF(D19&lt;Parametros!$B$8,Parametros!$B$5+(Parametros!$B$7-Parametros!$B$5)*D19/Parametros!$B$8,Parametros!$B$7+(Parametros!$B$6-Parametros!$B$7)*(D19-Parametros!$B$8)/(1-Parametros!$B$8)),1)</f>
        <v>3.4</v>
      </c>
      <c r="G19" s="16" t="n">
        <v>0.82</v>
      </c>
      <c r="H19" s="15" t="n">
        <f aca="false">ROUND(IF(G19&lt;Parametros!$B$8,Parametros!$B$5+(Parametros!$B$7-Parametros!$B$5)*G19/Parametros!$B$8,Parametros!$B$7+(Parametros!$B$6-Parametros!$B$7)*(G19-Parametros!$B$8)/(1-Parametros!$B$8)),1)</f>
        <v>5.7</v>
      </c>
    </row>
    <row r="20" customFormat="false" ht="15" hidden="false" customHeight="false" outlineLevel="0" collapsed="false">
      <c r="A20" s="16" t="n">
        <v>0.15</v>
      </c>
      <c r="B20" s="15" t="n">
        <f aca="false">ROUND(IF(A20&lt;Parametros!$B$8,Parametros!$B$5+(Parametros!$B$7-Parametros!$B$5)*A20/Parametros!$B$8,Parametros!$B$7+(Parametros!$B$6-Parametros!$B$7)*(A20-Parametros!$B$8)/(1-Parametros!$B$8)),1)</f>
        <v>1.8</v>
      </c>
      <c r="D20" s="16" t="n">
        <v>0.49</v>
      </c>
      <c r="E20" s="15" t="n">
        <f aca="false">ROUND(IF(D20&lt;Parametros!$B$8,Parametros!$B$5+(Parametros!$B$7-Parametros!$B$5)*D20/Parametros!$B$8,Parametros!$B$7+(Parametros!$B$6-Parametros!$B$7)*(D20-Parametros!$B$8)/(1-Parametros!$B$8)),1)</f>
        <v>3.5</v>
      </c>
      <c r="G20" s="16" t="n">
        <v>0.83</v>
      </c>
      <c r="H20" s="15" t="n">
        <f aca="false">ROUND(IF(G20&lt;Parametros!$B$8,Parametros!$B$5+(Parametros!$B$7-Parametros!$B$5)*G20/Parametros!$B$8,Parametros!$B$7+(Parametros!$B$6-Parametros!$B$7)*(G20-Parametros!$B$8)/(1-Parametros!$B$8)),1)</f>
        <v>5.7</v>
      </c>
    </row>
    <row r="21" customFormat="false" ht="15" hidden="false" customHeight="false" outlineLevel="0" collapsed="false">
      <c r="A21" s="16" t="n">
        <v>0.16</v>
      </c>
      <c r="B21" s="15" t="n">
        <f aca="false">ROUND(IF(A21&lt;Parametros!$B$8,Parametros!$B$5+(Parametros!$B$7-Parametros!$B$5)*A21/Parametros!$B$8,Parametros!$B$7+(Parametros!$B$6-Parametros!$B$7)*(A21-Parametros!$B$8)/(1-Parametros!$B$8)),1)</f>
        <v>1.8</v>
      </c>
      <c r="D21" s="16" t="n">
        <v>0.5</v>
      </c>
      <c r="E21" s="15" t="n">
        <f aca="false">ROUND(IF(D21&lt;Parametros!$B$8,Parametros!$B$5+(Parametros!$B$7-Parametros!$B$5)*D21/Parametros!$B$8,Parametros!$B$7+(Parametros!$B$6-Parametros!$B$7)*(D21-Parametros!$B$8)/(1-Parametros!$B$8)),1)</f>
        <v>3.5</v>
      </c>
      <c r="G21" s="16" t="n">
        <v>0.84</v>
      </c>
      <c r="H21" s="15" t="n">
        <f aca="false">ROUND(IF(G21&lt;Parametros!$B$8,Parametros!$B$5+(Parametros!$B$7-Parametros!$B$5)*G21/Parametros!$B$8,Parametros!$B$7+(Parametros!$B$6-Parametros!$B$7)*(G21-Parametros!$B$8)/(1-Parametros!$B$8)),1)</f>
        <v>5.8</v>
      </c>
    </row>
    <row r="22" customFormat="false" ht="15" hidden="false" customHeight="false" outlineLevel="0" collapsed="false">
      <c r="A22" s="16" t="n">
        <v>0.17</v>
      </c>
      <c r="B22" s="15" t="n">
        <f aca="false">ROUND(IF(A22&lt;Parametros!$B$8,Parametros!$B$5+(Parametros!$B$7-Parametros!$B$5)*A22/Parametros!$B$8,Parametros!$B$7+(Parametros!$B$6-Parametros!$B$7)*(A22-Parametros!$B$8)/(1-Parametros!$B$8)),1)</f>
        <v>1.9</v>
      </c>
      <c r="D22" s="16" t="n">
        <v>0.51</v>
      </c>
      <c r="E22" s="15" t="n">
        <f aca="false">ROUND(IF(D22&lt;Parametros!$B$8,Parametros!$B$5+(Parametros!$B$7-Parametros!$B$5)*D22/Parametros!$B$8,Parametros!$B$7+(Parametros!$B$6-Parametros!$B$7)*(D22-Parametros!$B$8)/(1-Parametros!$B$8)),1)</f>
        <v>3.6</v>
      </c>
      <c r="G22" s="16" t="n">
        <v>0.85</v>
      </c>
      <c r="H22" s="15" t="n">
        <f aca="false">ROUND(IF(G22&lt;Parametros!$B$8,Parametros!$B$5+(Parametros!$B$7-Parametros!$B$5)*G22/Parametros!$B$8,Parametros!$B$7+(Parametros!$B$6-Parametros!$B$7)*(G22-Parametros!$B$8)/(1-Parametros!$B$8)),1)</f>
        <v>5.9</v>
      </c>
    </row>
    <row r="23" customFormat="false" ht="15" hidden="false" customHeight="false" outlineLevel="0" collapsed="false">
      <c r="A23" s="16" t="n">
        <v>0.18</v>
      </c>
      <c r="B23" s="15" t="n">
        <f aca="false">ROUND(IF(A23&lt;Parametros!$B$8,Parametros!$B$5+(Parametros!$B$7-Parametros!$B$5)*A23/Parametros!$B$8,Parametros!$B$7+(Parametros!$B$6-Parametros!$B$7)*(A23-Parametros!$B$8)/(1-Parametros!$B$8)),1)</f>
        <v>1.9</v>
      </c>
      <c r="D23" s="16" t="n">
        <v>0.52</v>
      </c>
      <c r="E23" s="15" t="n">
        <f aca="false">ROUND(IF(D23&lt;Parametros!$B$8,Parametros!$B$5+(Parametros!$B$7-Parametros!$B$5)*D23/Parametros!$B$8,Parametros!$B$7+(Parametros!$B$6-Parametros!$B$7)*(D23-Parametros!$B$8)/(1-Parametros!$B$8)),1)</f>
        <v>3.6</v>
      </c>
      <c r="G23" s="16" t="n">
        <v>0.86</v>
      </c>
      <c r="H23" s="15" t="n">
        <f aca="false">ROUND(IF(G23&lt;Parametros!$B$8,Parametros!$B$5+(Parametros!$B$7-Parametros!$B$5)*G23/Parametros!$B$8,Parametros!$B$7+(Parametros!$B$6-Parametros!$B$7)*(G23-Parametros!$B$8)/(1-Parametros!$B$8)),1)</f>
        <v>6</v>
      </c>
    </row>
    <row r="24" customFormat="false" ht="15" hidden="false" customHeight="false" outlineLevel="0" collapsed="false">
      <c r="A24" s="16" t="n">
        <v>0.19</v>
      </c>
      <c r="B24" s="15" t="n">
        <f aca="false">ROUND(IF(A24&lt;Parametros!$B$8,Parametros!$B$5+(Parametros!$B$7-Parametros!$B$5)*A24/Parametros!$B$8,Parametros!$B$7+(Parametros!$B$6-Parametros!$B$7)*(A24-Parametros!$B$8)/(1-Parametros!$B$8)),1)</f>
        <v>2</v>
      </c>
      <c r="D24" s="16" t="n">
        <v>0.53</v>
      </c>
      <c r="E24" s="15" t="n">
        <f aca="false">ROUND(IF(D24&lt;Parametros!$B$8,Parametros!$B$5+(Parametros!$B$7-Parametros!$B$5)*D24/Parametros!$B$8,Parametros!$B$7+(Parametros!$B$6-Parametros!$B$7)*(D24-Parametros!$B$8)/(1-Parametros!$B$8)),1)</f>
        <v>3.7</v>
      </c>
      <c r="G24" s="16" t="n">
        <v>0.87</v>
      </c>
      <c r="H24" s="15" t="n">
        <f aca="false">ROUND(IF(G24&lt;Parametros!$B$8,Parametros!$B$5+(Parametros!$B$7-Parametros!$B$5)*G24/Parametros!$B$8,Parametros!$B$7+(Parametros!$B$6-Parametros!$B$7)*(G24-Parametros!$B$8)/(1-Parametros!$B$8)),1)</f>
        <v>6</v>
      </c>
    </row>
    <row r="25" customFormat="false" ht="15" hidden="false" customHeight="false" outlineLevel="0" collapsed="false">
      <c r="A25" s="16" t="n">
        <v>0.2</v>
      </c>
      <c r="B25" s="15" t="n">
        <f aca="false">ROUND(IF(A25&lt;Parametros!$B$8,Parametros!$B$5+(Parametros!$B$7-Parametros!$B$5)*A25/Parametros!$B$8,Parametros!$B$7+(Parametros!$B$6-Parametros!$B$7)*(A25-Parametros!$B$8)/(1-Parametros!$B$8)),1)</f>
        <v>2</v>
      </c>
      <c r="D25" s="16" t="n">
        <v>0.54</v>
      </c>
      <c r="E25" s="15" t="n">
        <f aca="false">ROUND(IF(D25&lt;Parametros!$B$8,Parametros!$B$5+(Parametros!$B$7-Parametros!$B$5)*D25/Parametros!$B$8,Parametros!$B$7+(Parametros!$B$6-Parametros!$B$7)*(D25-Parametros!$B$8)/(1-Parametros!$B$8)),1)</f>
        <v>3.7</v>
      </c>
      <c r="G25" s="16" t="n">
        <v>0.88</v>
      </c>
      <c r="H25" s="15" t="n">
        <f aca="false">ROUND(IF(G25&lt;Parametros!$B$8,Parametros!$B$5+(Parametros!$B$7-Parametros!$B$5)*G25/Parametros!$B$8,Parametros!$B$7+(Parametros!$B$6-Parametros!$B$7)*(G25-Parametros!$B$8)/(1-Parametros!$B$8)),1)</f>
        <v>6.1</v>
      </c>
    </row>
    <row r="26" customFormat="false" ht="15" hidden="false" customHeight="false" outlineLevel="0" collapsed="false">
      <c r="A26" s="16" t="n">
        <v>0.21</v>
      </c>
      <c r="B26" s="15" t="n">
        <f aca="false">ROUND(IF(A26&lt;Parametros!$B$8,Parametros!$B$5+(Parametros!$B$7-Parametros!$B$5)*A26/Parametros!$B$8,Parametros!$B$7+(Parametros!$B$6-Parametros!$B$7)*(A26-Parametros!$B$8)/(1-Parametros!$B$8)),1)</f>
        <v>2.1</v>
      </c>
      <c r="D26" s="16" t="n">
        <v>0.55</v>
      </c>
      <c r="E26" s="15" t="n">
        <f aca="false">ROUND(IF(D26&lt;Parametros!$B$8,Parametros!$B$5+(Parametros!$B$7-Parametros!$B$5)*D26/Parametros!$B$8,Parametros!$B$7+(Parametros!$B$6-Parametros!$B$7)*(D26-Parametros!$B$8)/(1-Parametros!$B$8)),1)</f>
        <v>3.8</v>
      </c>
      <c r="G26" s="16" t="n">
        <v>0.89</v>
      </c>
      <c r="H26" s="15" t="n">
        <f aca="false">ROUND(IF(G26&lt;Parametros!$B$8,Parametros!$B$5+(Parametros!$B$7-Parametros!$B$5)*G26/Parametros!$B$8,Parametros!$B$7+(Parametros!$B$6-Parametros!$B$7)*(G26-Parametros!$B$8)/(1-Parametros!$B$8)),1)</f>
        <v>6.2</v>
      </c>
    </row>
    <row r="27" customFormat="false" ht="15" hidden="false" customHeight="false" outlineLevel="0" collapsed="false">
      <c r="A27" s="16" t="n">
        <v>0.22</v>
      </c>
      <c r="B27" s="15" t="n">
        <f aca="false">ROUND(IF(A27&lt;Parametros!$B$8,Parametros!$B$5+(Parametros!$B$7-Parametros!$B$5)*A27/Parametros!$B$8,Parametros!$B$7+(Parametros!$B$6-Parametros!$B$7)*(A27-Parametros!$B$8)/(1-Parametros!$B$8)),1)</f>
        <v>2.1</v>
      </c>
      <c r="D27" s="16" t="n">
        <v>0.56</v>
      </c>
      <c r="E27" s="15" t="n">
        <f aca="false">ROUND(IF(D27&lt;Parametros!$B$8,Parametros!$B$5+(Parametros!$B$7-Parametros!$B$5)*D27/Parametros!$B$8,Parametros!$B$7+(Parametros!$B$6-Parametros!$B$7)*(D27-Parametros!$B$8)/(1-Parametros!$B$8)),1)</f>
        <v>3.8</v>
      </c>
      <c r="G27" s="16" t="n">
        <v>0.9</v>
      </c>
      <c r="H27" s="15" t="n">
        <f aca="false">ROUND(IF(G27&lt;Parametros!$B$8,Parametros!$B$5+(Parametros!$B$7-Parametros!$B$5)*G27/Parametros!$B$8,Parametros!$B$7+(Parametros!$B$6-Parametros!$B$7)*(G27-Parametros!$B$8)/(1-Parametros!$B$8)),1)</f>
        <v>6.3</v>
      </c>
    </row>
    <row r="28" customFormat="false" ht="15" hidden="false" customHeight="false" outlineLevel="0" collapsed="false">
      <c r="A28" s="16" t="n">
        <v>0.23</v>
      </c>
      <c r="B28" s="15" t="n">
        <f aca="false">ROUND(IF(A28&lt;Parametros!$B$8,Parametros!$B$5+(Parametros!$B$7-Parametros!$B$5)*A28/Parametros!$B$8,Parametros!$B$7+(Parametros!$B$6-Parametros!$B$7)*(A28-Parametros!$B$8)/(1-Parametros!$B$8)),1)</f>
        <v>2.2</v>
      </c>
      <c r="D28" s="16" t="n">
        <v>0.57</v>
      </c>
      <c r="E28" s="15" t="n">
        <f aca="false">ROUND(IF(D28&lt;Parametros!$B$8,Parametros!$B$5+(Parametros!$B$7-Parametros!$B$5)*D28/Parametros!$B$8,Parametros!$B$7+(Parametros!$B$6-Parametros!$B$7)*(D28-Parametros!$B$8)/(1-Parametros!$B$8)),1)</f>
        <v>3.9</v>
      </c>
      <c r="G28" s="16" t="n">
        <v>0.91</v>
      </c>
      <c r="H28" s="15" t="n">
        <f aca="false">ROUND(IF(G28&lt;Parametros!$B$8,Parametros!$B$5+(Parametros!$B$7-Parametros!$B$5)*G28/Parametros!$B$8,Parametros!$B$7+(Parametros!$B$6-Parametros!$B$7)*(G28-Parametros!$B$8)/(1-Parametros!$B$8)),1)</f>
        <v>6.3</v>
      </c>
    </row>
    <row r="29" customFormat="false" ht="15" hidden="false" customHeight="false" outlineLevel="0" collapsed="false">
      <c r="A29" s="16" t="n">
        <v>0.24</v>
      </c>
      <c r="B29" s="15" t="n">
        <f aca="false">ROUND(IF(A29&lt;Parametros!$B$8,Parametros!$B$5+(Parametros!$B$7-Parametros!$B$5)*A29/Parametros!$B$8,Parametros!$B$7+(Parametros!$B$6-Parametros!$B$7)*(A29-Parametros!$B$8)/(1-Parametros!$B$8)),1)</f>
        <v>2.2</v>
      </c>
      <c r="D29" s="16" t="n">
        <v>0.58</v>
      </c>
      <c r="E29" s="15" t="n">
        <f aca="false">ROUND(IF(D29&lt;Parametros!$B$8,Parametros!$B$5+(Parametros!$B$7-Parametros!$B$5)*D29/Parametros!$B$8,Parametros!$B$7+(Parametros!$B$6-Parametros!$B$7)*(D29-Parametros!$B$8)/(1-Parametros!$B$8)),1)</f>
        <v>3.9</v>
      </c>
      <c r="G29" s="16" t="n">
        <v>0.92</v>
      </c>
      <c r="H29" s="15" t="n">
        <f aca="false">ROUND(IF(G29&lt;Parametros!$B$8,Parametros!$B$5+(Parametros!$B$7-Parametros!$B$5)*G29/Parametros!$B$8,Parametros!$B$7+(Parametros!$B$6-Parametros!$B$7)*(G29-Parametros!$B$8)/(1-Parametros!$B$8)),1)</f>
        <v>6.4</v>
      </c>
    </row>
    <row r="30" customFormat="false" ht="15" hidden="false" customHeight="false" outlineLevel="0" collapsed="false">
      <c r="A30" s="16" t="n">
        <v>0.25</v>
      </c>
      <c r="B30" s="15" t="n">
        <f aca="false">ROUND(IF(A30&lt;Parametros!$B$8,Parametros!$B$5+(Parametros!$B$7-Parametros!$B$5)*A30/Parametros!$B$8,Parametros!$B$7+(Parametros!$B$6-Parametros!$B$7)*(A30-Parametros!$B$8)/(1-Parametros!$B$8)),1)</f>
        <v>2.3</v>
      </c>
      <c r="D30" s="16" t="n">
        <v>0.59</v>
      </c>
      <c r="E30" s="15" t="n">
        <f aca="false">ROUND(IF(D30&lt;Parametros!$B$8,Parametros!$B$5+(Parametros!$B$7-Parametros!$B$5)*D30/Parametros!$B$8,Parametros!$B$7+(Parametros!$B$6-Parametros!$B$7)*(D30-Parametros!$B$8)/(1-Parametros!$B$8)),1)</f>
        <v>4</v>
      </c>
      <c r="G30" s="16" t="n">
        <v>0.93</v>
      </c>
      <c r="H30" s="15" t="n">
        <f aca="false">ROUND(IF(G30&lt;Parametros!$B$8,Parametros!$B$5+(Parametros!$B$7-Parametros!$B$5)*G30/Parametros!$B$8,Parametros!$B$7+(Parametros!$B$6-Parametros!$B$7)*(G30-Parametros!$B$8)/(1-Parametros!$B$8)),1)</f>
        <v>6.5</v>
      </c>
    </row>
    <row r="31" customFormat="false" ht="15" hidden="false" customHeight="false" outlineLevel="0" collapsed="false">
      <c r="A31" s="16" t="n">
        <v>0.26</v>
      </c>
      <c r="B31" s="15" t="n">
        <f aca="false">ROUND(IF(A31&lt;Parametros!$B$8,Parametros!$B$5+(Parametros!$B$7-Parametros!$B$5)*A31/Parametros!$B$8,Parametros!$B$7+(Parametros!$B$6-Parametros!$B$7)*(A31-Parametros!$B$8)/(1-Parametros!$B$8)),1)</f>
        <v>2.3</v>
      </c>
      <c r="D31" s="16" t="n">
        <v>0.6</v>
      </c>
      <c r="E31" s="15" t="n">
        <f aca="false">ROUND(IF(D31&lt;Parametros!$B$8,Parametros!$B$5+(Parametros!$B$7-Parametros!$B$5)*D31/Parametros!$B$8,Parametros!$B$7+(Parametros!$B$6-Parametros!$B$7)*(D31-Parametros!$B$8)/(1-Parametros!$B$8)),1)</f>
        <v>4</v>
      </c>
      <c r="G31" s="16" t="n">
        <v>0.94</v>
      </c>
      <c r="H31" s="15" t="n">
        <f aca="false">ROUND(IF(G31&lt;Parametros!$B$8,Parametros!$B$5+(Parametros!$B$7-Parametros!$B$5)*G31/Parametros!$B$8,Parametros!$B$7+(Parametros!$B$6-Parametros!$B$7)*(G31-Parametros!$B$8)/(1-Parametros!$B$8)),1)</f>
        <v>6.6</v>
      </c>
    </row>
    <row r="32" customFormat="false" ht="15" hidden="false" customHeight="false" outlineLevel="0" collapsed="false">
      <c r="A32" s="16" t="n">
        <v>0.27</v>
      </c>
      <c r="B32" s="15" t="n">
        <f aca="false">ROUND(IF(A32&lt;Parametros!$B$8,Parametros!$B$5+(Parametros!$B$7-Parametros!$B$5)*A32/Parametros!$B$8,Parametros!$B$7+(Parametros!$B$6-Parametros!$B$7)*(A32-Parametros!$B$8)/(1-Parametros!$B$8)),1)</f>
        <v>2.4</v>
      </c>
      <c r="D32" s="16" t="n">
        <v>0.61</v>
      </c>
      <c r="E32" s="15" t="n">
        <f aca="false">ROUND(IF(D32&lt;Parametros!$B$8,Parametros!$B$5+(Parametros!$B$7-Parametros!$B$5)*D32/Parametros!$B$8,Parametros!$B$7+(Parametros!$B$6-Parametros!$B$7)*(D32-Parametros!$B$8)/(1-Parametros!$B$8)),1)</f>
        <v>4.1</v>
      </c>
      <c r="G32" s="16" t="n">
        <v>0.95</v>
      </c>
      <c r="H32" s="15" t="n">
        <f aca="false">ROUND(IF(G32&lt;Parametros!$B$8,Parametros!$B$5+(Parametros!$B$7-Parametros!$B$5)*G32/Parametros!$B$8,Parametros!$B$7+(Parametros!$B$6-Parametros!$B$7)*(G32-Parametros!$B$8)/(1-Parametros!$B$8)),1)</f>
        <v>6.6</v>
      </c>
    </row>
    <row r="33" customFormat="false" ht="15" hidden="false" customHeight="false" outlineLevel="0" collapsed="false">
      <c r="A33" s="16" t="n">
        <v>0.28</v>
      </c>
      <c r="B33" s="15" t="n">
        <f aca="false">ROUND(IF(A33&lt;Parametros!$B$8,Parametros!$B$5+(Parametros!$B$7-Parametros!$B$5)*A33/Parametros!$B$8,Parametros!$B$7+(Parametros!$B$6-Parametros!$B$7)*(A33-Parametros!$B$8)/(1-Parametros!$B$8)),1)</f>
        <v>2.4</v>
      </c>
      <c r="D33" s="16" t="n">
        <v>0.62</v>
      </c>
      <c r="E33" s="15" t="n">
        <f aca="false">ROUND(IF(D33&lt;Parametros!$B$8,Parametros!$B$5+(Parametros!$B$7-Parametros!$B$5)*D33/Parametros!$B$8,Parametros!$B$7+(Parametros!$B$6-Parametros!$B$7)*(D33-Parametros!$B$8)/(1-Parametros!$B$8)),1)</f>
        <v>4.2</v>
      </c>
      <c r="G33" s="16" t="n">
        <v>0.96</v>
      </c>
      <c r="H33" s="15" t="n">
        <f aca="false">ROUND(IF(G33&lt;Parametros!$B$8,Parametros!$B$5+(Parametros!$B$7-Parametros!$B$5)*G33/Parametros!$B$8,Parametros!$B$7+(Parametros!$B$6-Parametros!$B$7)*(G33-Parametros!$B$8)/(1-Parametros!$B$8)),1)</f>
        <v>6.7</v>
      </c>
    </row>
    <row r="34" customFormat="false" ht="15" hidden="false" customHeight="false" outlineLevel="0" collapsed="false">
      <c r="A34" s="16" t="n">
        <v>0.29</v>
      </c>
      <c r="B34" s="15" t="n">
        <f aca="false">ROUND(IF(A34&lt;Parametros!$B$8,Parametros!$B$5+(Parametros!$B$7-Parametros!$B$5)*A34/Parametros!$B$8,Parametros!$B$7+(Parametros!$B$6-Parametros!$B$7)*(A34-Parametros!$B$8)/(1-Parametros!$B$8)),1)</f>
        <v>2.5</v>
      </c>
      <c r="D34" s="16" t="n">
        <v>0.63</v>
      </c>
      <c r="E34" s="15" t="n">
        <f aca="false">ROUND(IF(D34&lt;Parametros!$B$8,Parametros!$B$5+(Parametros!$B$7-Parametros!$B$5)*D34/Parametros!$B$8,Parametros!$B$7+(Parametros!$B$6-Parametros!$B$7)*(D34-Parametros!$B$8)/(1-Parametros!$B$8)),1)</f>
        <v>4.2</v>
      </c>
      <c r="G34" s="16" t="n">
        <v>0.97</v>
      </c>
      <c r="H34" s="15" t="n">
        <f aca="false">ROUND(IF(G34&lt;Parametros!$B$8,Parametros!$B$5+(Parametros!$B$7-Parametros!$B$5)*G34/Parametros!$B$8,Parametros!$B$7+(Parametros!$B$6-Parametros!$B$7)*(G34-Parametros!$B$8)/(1-Parametros!$B$8)),1)</f>
        <v>6.8</v>
      </c>
    </row>
    <row r="35" customFormat="false" ht="15" hidden="false" customHeight="false" outlineLevel="0" collapsed="false">
      <c r="A35" s="16" t="n">
        <v>0.3</v>
      </c>
      <c r="B35" s="15" t="n">
        <f aca="false">ROUND(IF(A35&lt;Parametros!$B$8,Parametros!$B$5+(Parametros!$B$7-Parametros!$B$5)*A35/Parametros!$B$8,Parametros!$B$7+(Parametros!$B$6-Parametros!$B$7)*(A35-Parametros!$B$8)/(1-Parametros!$B$8)),1)</f>
        <v>2.5</v>
      </c>
      <c r="D35" s="16" t="n">
        <v>0.64</v>
      </c>
      <c r="E35" s="15" t="n">
        <f aca="false">ROUND(IF(D35&lt;Parametros!$B$8,Parametros!$B$5+(Parametros!$B$7-Parametros!$B$5)*D35/Parametros!$B$8,Parametros!$B$7+(Parametros!$B$6-Parametros!$B$7)*(D35-Parametros!$B$8)/(1-Parametros!$B$8)),1)</f>
        <v>4.3</v>
      </c>
      <c r="G35" s="16" t="n">
        <v>0.98</v>
      </c>
      <c r="H35" s="15" t="n">
        <f aca="false">ROUND(IF(G35&lt;Parametros!$B$8,Parametros!$B$5+(Parametros!$B$7-Parametros!$B$5)*G35/Parametros!$B$8,Parametros!$B$7+(Parametros!$B$6-Parametros!$B$7)*(G35-Parametros!$B$8)/(1-Parametros!$B$8)),1)</f>
        <v>6.9</v>
      </c>
    </row>
    <row r="36" customFormat="false" ht="15" hidden="false" customHeight="false" outlineLevel="0" collapsed="false">
      <c r="A36" s="16" t="n">
        <v>0.31</v>
      </c>
      <c r="B36" s="15" t="n">
        <f aca="false">ROUND(IF(A36&lt;Parametros!$B$8,Parametros!$B$5+(Parametros!$B$7-Parametros!$B$5)*A36/Parametros!$B$8,Parametros!$B$7+(Parametros!$B$6-Parametros!$B$7)*(A36-Parametros!$B$8)/(1-Parametros!$B$8)),1)</f>
        <v>2.6</v>
      </c>
      <c r="D36" s="16" t="n">
        <v>0.65</v>
      </c>
      <c r="E36" s="15" t="n">
        <f aca="false">ROUND(IF(D36&lt;Parametros!$B$8,Parametros!$B$5+(Parametros!$B$7-Parametros!$B$5)*D36/Parametros!$B$8,Parametros!$B$7+(Parametros!$B$6-Parametros!$B$7)*(D36-Parametros!$B$8)/(1-Parametros!$B$8)),1)</f>
        <v>4.4</v>
      </c>
      <c r="G36" s="16" t="n">
        <v>0.99</v>
      </c>
      <c r="H36" s="15" t="n">
        <f aca="false">ROUND(IF(G36&lt;Parametros!$B$8,Parametros!$B$5+(Parametros!$B$7-Parametros!$B$5)*G36/Parametros!$B$8,Parametros!$B$7+(Parametros!$B$6-Parametros!$B$7)*(G36-Parametros!$B$8)/(1-Parametros!$B$8)),1)</f>
        <v>6.9</v>
      </c>
    </row>
    <row r="37" customFormat="false" ht="15" hidden="false" customHeight="false" outlineLevel="0" collapsed="false">
      <c r="A37" s="16" t="n">
        <v>0.32</v>
      </c>
      <c r="B37" s="15" t="n">
        <f aca="false">ROUND(IF(A37&lt;Parametros!$B$8,Parametros!$B$5+(Parametros!$B$7-Parametros!$B$5)*A37/Parametros!$B$8,Parametros!$B$7+(Parametros!$B$6-Parametros!$B$7)*(A37-Parametros!$B$8)/(1-Parametros!$B$8)),1)</f>
        <v>2.6</v>
      </c>
      <c r="D37" s="16" t="n">
        <v>0.66</v>
      </c>
      <c r="E37" s="15" t="n">
        <f aca="false">ROUND(IF(D37&lt;Parametros!$B$8,Parametros!$B$5+(Parametros!$B$7-Parametros!$B$5)*D37/Parametros!$B$8,Parametros!$B$7+(Parametros!$B$6-Parametros!$B$7)*(D37-Parametros!$B$8)/(1-Parametros!$B$8)),1)</f>
        <v>4.5</v>
      </c>
      <c r="G37" s="16" t="n">
        <v>1</v>
      </c>
      <c r="H37" s="15" t="n">
        <f aca="false">ROUND(IF(G37&lt;Parametros!$B$8,Parametros!$B$5+(Parametros!$B$7-Parametros!$B$5)*G37/Parametros!$B$8,Parametros!$B$7+(Parametros!$B$6-Parametros!$B$7)*(G37-Parametros!$B$8)/(1-Parametros!$B$8)),1)</f>
        <v>7</v>
      </c>
    </row>
    <row r="38" customFormat="false" ht="15" hidden="false" customHeight="false" outlineLevel="0" collapsed="false">
      <c r="A38" s="16" t="n">
        <v>0.33</v>
      </c>
      <c r="B38" s="15" t="n">
        <f aca="false">ROUND(IF(A38&lt;Parametros!$B$8,Parametros!$B$5+(Parametros!$B$7-Parametros!$B$5)*A38/Parametros!$B$8,Parametros!$B$7+(Parametros!$B$6-Parametros!$B$7)*(A38-Parametros!$B$8)/(1-Parametros!$B$8)),1)</f>
        <v>2.7</v>
      </c>
      <c r="D38" s="16" t="n">
        <v>0.67</v>
      </c>
      <c r="E38" s="15" t="n">
        <f aca="false">ROUND(IF(D38&lt;Parametros!$B$8,Parametros!$B$5+(Parametros!$B$7-Parametros!$B$5)*D38/Parametros!$B$8,Parametros!$B$7+(Parametros!$B$6-Parametros!$B$7)*(D38-Parametros!$B$8)/(1-Parametros!$B$8)),1)</f>
        <v>4.5</v>
      </c>
    </row>
  </sheetData>
  <conditionalFormatting sqref="B5">
    <cfRule type="cellIs" priority="2" operator="lessThan" aboveAverage="0" equalAverage="0" bottom="0" percent="0" rank="0" text="" dxfId="1">
      <formula>Parametros!$B$7</formula>
    </cfRule>
  </conditionalFormatting>
  <conditionalFormatting sqref="B6">
    <cfRule type="cellIs" priority="3" operator="lessThan" aboveAverage="0" equalAverage="0" bottom="0" percent="0" rank="0" text="" dxfId="1">
      <formula>Parametros!$B$7</formula>
    </cfRule>
  </conditionalFormatting>
  <conditionalFormatting sqref="B7">
    <cfRule type="cellIs" priority="4" operator="lessThan" aboveAverage="0" equalAverage="0" bottom="0" percent="0" rank="0" text="" dxfId="1">
      <formula>Parametros!$B$7</formula>
    </cfRule>
  </conditionalFormatting>
  <conditionalFormatting sqref="B8">
    <cfRule type="cellIs" priority="5" operator="lessThan" aboveAverage="0" equalAverage="0" bottom="0" percent="0" rank="0" text="" dxfId="1">
      <formula>Parametros!$B$7</formula>
    </cfRule>
  </conditionalFormatting>
  <conditionalFormatting sqref="B9">
    <cfRule type="cellIs" priority="6" operator="lessThan" aboveAverage="0" equalAverage="0" bottom="0" percent="0" rank="0" text="" dxfId="1">
      <formula>Parametros!$B$7</formula>
    </cfRule>
  </conditionalFormatting>
  <conditionalFormatting sqref="B10">
    <cfRule type="cellIs" priority="7" operator="lessThan" aboveAverage="0" equalAverage="0" bottom="0" percent="0" rank="0" text="" dxfId="1">
      <formula>Parametros!$B$7</formula>
    </cfRule>
  </conditionalFormatting>
  <conditionalFormatting sqref="B11">
    <cfRule type="cellIs" priority="8" operator="lessThan" aboveAverage="0" equalAverage="0" bottom="0" percent="0" rank="0" text="" dxfId="1">
      <formula>Parametros!$B$7</formula>
    </cfRule>
  </conditionalFormatting>
  <conditionalFormatting sqref="B12">
    <cfRule type="cellIs" priority="9" operator="lessThan" aboveAverage="0" equalAverage="0" bottom="0" percent="0" rank="0" text="" dxfId="1">
      <formula>Parametros!$B$7</formula>
    </cfRule>
  </conditionalFormatting>
  <conditionalFormatting sqref="B13">
    <cfRule type="cellIs" priority="10" operator="lessThan" aboveAverage="0" equalAverage="0" bottom="0" percent="0" rank="0" text="" dxfId="1">
      <formula>Parametros!$B$7</formula>
    </cfRule>
  </conditionalFormatting>
  <conditionalFormatting sqref="B14">
    <cfRule type="cellIs" priority="11" operator="lessThan" aboveAverage="0" equalAverage="0" bottom="0" percent="0" rank="0" text="" dxfId="1">
      <formula>Parametros!$B$7</formula>
    </cfRule>
  </conditionalFormatting>
  <conditionalFormatting sqref="B15">
    <cfRule type="cellIs" priority="12" operator="lessThan" aboveAverage="0" equalAverage="0" bottom="0" percent="0" rank="0" text="" dxfId="1">
      <formula>Parametros!$B$7</formula>
    </cfRule>
  </conditionalFormatting>
  <conditionalFormatting sqref="B16">
    <cfRule type="cellIs" priority="13" operator="lessThan" aboveAverage="0" equalAverage="0" bottom="0" percent="0" rank="0" text="" dxfId="1">
      <formula>Parametros!$B$7</formula>
    </cfRule>
  </conditionalFormatting>
  <conditionalFormatting sqref="B17">
    <cfRule type="cellIs" priority="14" operator="lessThan" aboveAverage="0" equalAverage="0" bottom="0" percent="0" rank="0" text="" dxfId="1">
      <formula>Parametros!$B$7</formula>
    </cfRule>
  </conditionalFormatting>
  <conditionalFormatting sqref="B18">
    <cfRule type="cellIs" priority="15" operator="lessThan" aboveAverage="0" equalAverage="0" bottom="0" percent="0" rank="0" text="" dxfId="1">
      <formula>Parametros!$B$7</formula>
    </cfRule>
  </conditionalFormatting>
  <conditionalFormatting sqref="B19">
    <cfRule type="cellIs" priority="16" operator="lessThan" aboveAverage="0" equalAverage="0" bottom="0" percent="0" rank="0" text="" dxfId="1">
      <formula>Parametros!$B$7</formula>
    </cfRule>
  </conditionalFormatting>
  <conditionalFormatting sqref="B20">
    <cfRule type="cellIs" priority="17" operator="lessThan" aboveAverage="0" equalAverage="0" bottom="0" percent="0" rank="0" text="" dxfId="1">
      <formula>Parametros!$B$7</formula>
    </cfRule>
  </conditionalFormatting>
  <conditionalFormatting sqref="B21">
    <cfRule type="cellIs" priority="18" operator="lessThan" aboveAverage="0" equalAverage="0" bottom="0" percent="0" rank="0" text="" dxfId="1">
      <formula>Parametros!$B$7</formula>
    </cfRule>
  </conditionalFormatting>
  <conditionalFormatting sqref="B22">
    <cfRule type="cellIs" priority="19" operator="lessThan" aboveAverage="0" equalAverage="0" bottom="0" percent="0" rank="0" text="" dxfId="1">
      <formula>Parametros!$B$7</formula>
    </cfRule>
  </conditionalFormatting>
  <conditionalFormatting sqref="B23">
    <cfRule type="cellIs" priority="20" operator="lessThan" aboveAverage="0" equalAverage="0" bottom="0" percent="0" rank="0" text="" dxfId="1">
      <formula>Parametros!$B$7</formula>
    </cfRule>
  </conditionalFormatting>
  <conditionalFormatting sqref="B24">
    <cfRule type="cellIs" priority="21" operator="lessThan" aboveAverage="0" equalAverage="0" bottom="0" percent="0" rank="0" text="" dxfId="1">
      <formula>Parametros!$B$7</formula>
    </cfRule>
  </conditionalFormatting>
  <conditionalFormatting sqref="B25">
    <cfRule type="cellIs" priority="22" operator="lessThan" aboveAverage="0" equalAverage="0" bottom="0" percent="0" rank="0" text="" dxfId="1">
      <formula>Parametros!$B$7</formula>
    </cfRule>
  </conditionalFormatting>
  <conditionalFormatting sqref="B26">
    <cfRule type="cellIs" priority="23" operator="lessThan" aboveAverage="0" equalAverage="0" bottom="0" percent="0" rank="0" text="" dxfId="1">
      <formula>Parametros!$B$7</formula>
    </cfRule>
  </conditionalFormatting>
  <conditionalFormatting sqref="B27">
    <cfRule type="cellIs" priority="24" operator="lessThan" aboveAverage="0" equalAverage="0" bottom="0" percent="0" rank="0" text="" dxfId="1">
      <formula>Parametros!$B$7</formula>
    </cfRule>
  </conditionalFormatting>
  <conditionalFormatting sqref="B28">
    <cfRule type="cellIs" priority="25" operator="lessThan" aboveAverage="0" equalAverage="0" bottom="0" percent="0" rank="0" text="" dxfId="1">
      <formula>Parametros!$B$7</formula>
    </cfRule>
  </conditionalFormatting>
  <conditionalFormatting sqref="B29">
    <cfRule type="cellIs" priority="26" operator="lessThan" aboveAverage="0" equalAverage="0" bottom="0" percent="0" rank="0" text="" dxfId="1">
      <formula>Parametros!$B$7</formula>
    </cfRule>
  </conditionalFormatting>
  <conditionalFormatting sqref="B30">
    <cfRule type="cellIs" priority="27" operator="lessThan" aboveAverage="0" equalAverage="0" bottom="0" percent="0" rank="0" text="" dxfId="1">
      <formula>Parametros!$B$7</formula>
    </cfRule>
  </conditionalFormatting>
  <conditionalFormatting sqref="B31">
    <cfRule type="cellIs" priority="28" operator="lessThan" aboveAverage="0" equalAverage="0" bottom="0" percent="0" rank="0" text="" dxfId="1">
      <formula>Parametros!$B$7</formula>
    </cfRule>
  </conditionalFormatting>
  <conditionalFormatting sqref="B32">
    <cfRule type="cellIs" priority="29" operator="lessThan" aboveAverage="0" equalAverage="0" bottom="0" percent="0" rank="0" text="" dxfId="1">
      <formula>Parametros!$B$7</formula>
    </cfRule>
  </conditionalFormatting>
  <conditionalFormatting sqref="B33">
    <cfRule type="cellIs" priority="30" operator="lessThan" aboveAverage="0" equalAverage="0" bottom="0" percent="0" rank="0" text="" dxfId="1">
      <formula>Parametros!$B$7</formula>
    </cfRule>
  </conditionalFormatting>
  <conditionalFormatting sqref="B34">
    <cfRule type="cellIs" priority="31" operator="lessThan" aboveAverage="0" equalAverage="0" bottom="0" percent="0" rank="0" text="" dxfId="1">
      <formula>Parametros!$B$7</formula>
    </cfRule>
  </conditionalFormatting>
  <conditionalFormatting sqref="B35">
    <cfRule type="cellIs" priority="32" operator="lessThan" aboveAverage="0" equalAverage="0" bottom="0" percent="0" rank="0" text="" dxfId="1">
      <formula>Parametros!$B$7</formula>
    </cfRule>
  </conditionalFormatting>
  <conditionalFormatting sqref="B36">
    <cfRule type="cellIs" priority="33" operator="lessThan" aboveAverage="0" equalAverage="0" bottom="0" percent="0" rank="0" text="" dxfId="1">
      <formula>Parametros!$B$7</formula>
    </cfRule>
  </conditionalFormatting>
  <conditionalFormatting sqref="B37">
    <cfRule type="cellIs" priority="34" operator="lessThan" aboveAverage="0" equalAverage="0" bottom="0" percent="0" rank="0" text="" dxfId="1">
      <formula>Parametros!$B$7</formula>
    </cfRule>
  </conditionalFormatting>
  <conditionalFormatting sqref="B38">
    <cfRule type="cellIs" priority="35" operator="lessThan" aboveAverage="0" equalAverage="0" bottom="0" percent="0" rank="0" text="" dxfId="1">
      <formula>Parametros!$B$7</formula>
    </cfRule>
  </conditionalFormatting>
  <conditionalFormatting sqref="E5">
    <cfRule type="cellIs" priority="36" operator="lessThan" aboveAverage="0" equalAverage="0" bottom="0" percent="0" rank="0" text="" dxfId="1">
      <formula>Parametros!$B$7</formula>
    </cfRule>
  </conditionalFormatting>
  <conditionalFormatting sqref="E6">
    <cfRule type="cellIs" priority="37" operator="lessThan" aboveAverage="0" equalAverage="0" bottom="0" percent="0" rank="0" text="" dxfId="1">
      <formula>Parametros!$B$7</formula>
    </cfRule>
  </conditionalFormatting>
  <conditionalFormatting sqref="E7">
    <cfRule type="cellIs" priority="38" operator="lessThan" aboveAverage="0" equalAverage="0" bottom="0" percent="0" rank="0" text="" dxfId="1">
      <formula>Parametros!$B$7</formula>
    </cfRule>
  </conditionalFormatting>
  <conditionalFormatting sqref="E8">
    <cfRule type="cellIs" priority="39" operator="lessThan" aboveAverage="0" equalAverage="0" bottom="0" percent="0" rank="0" text="" dxfId="1">
      <formula>Parametros!$B$7</formula>
    </cfRule>
  </conditionalFormatting>
  <conditionalFormatting sqref="E9">
    <cfRule type="cellIs" priority="40" operator="lessThan" aboveAverage="0" equalAverage="0" bottom="0" percent="0" rank="0" text="" dxfId="1">
      <formula>Parametros!$B$7</formula>
    </cfRule>
  </conditionalFormatting>
  <conditionalFormatting sqref="E10">
    <cfRule type="cellIs" priority="41" operator="lessThan" aboveAverage="0" equalAverage="0" bottom="0" percent="0" rank="0" text="" dxfId="1">
      <formula>Parametros!$B$7</formula>
    </cfRule>
  </conditionalFormatting>
  <conditionalFormatting sqref="E11">
    <cfRule type="cellIs" priority="42" operator="lessThan" aboveAverage="0" equalAverage="0" bottom="0" percent="0" rank="0" text="" dxfId="1">
      <formula>Parametros!$B$7</formula>
    </cfRule>
  </conditionalFormatting>
  <conditionalFormatting sqref="E12">
    <cfRule type="cellIs" priority="43" operator="lessThan" aboveAverage="0" equalAverage="0" bottom="0" percent="0" rank="0" text="" dxfId="1">
      <formula>Parametros!$B$7</formula>
    </cfRule>
  </conditionalFormatting>
  <conditionalFormatting sqref="E13">
    <cfRule type="cellIs" priority="44" operator="lessThan" aboveAverage="0" equalAverage="0" bottom="0" percent="0" rank="0" text="" dxfId="1">
      <formula>Parametros!$B$7</formula>
    </cfRule>
  </conditionalFormatting>
  <conditionalFormatting sqref="E14">
    <cfRule type="cellIs" priority="45" operator="lessThan" aboveAverage="0" equalAverage="0" bottom="0" percent="0" rank="0" text="" dxfId="1">
      <formula>Parametros!$B$7</formula>
    </cfRule>
  </conditionalFormatting>
  <conditionalFormatting sqref="E15">
    <cfRule type="cellIs" priority="46" operator="lessThan" aboveAverage="0" equalAverage="0" bottom="0" percent="0" rank="0" text="" dxfId="1">
      <formula>Parametros!$B$7</formula>
    </cfRule>
  </conditionalFormatting>
  <conditionalFormatting sqref="E16">
    <cfRule type="cellIs" priority="47" operator="lessThan" aboveAverage="0" equalAverage="0" bottom="0" percent="0" rank="0" text="" dxfId="1">
      <formula>Parametros!$B$7</formula>
    </cfRule>
  </conditionalFormatting>
  <conditionalFormatting sqref="E17">
    <cfRule type="cellIs" priority="48" operator="lessThan" aboveAverage="0" equalAverage="0" bottom="0" percent="0" rank="0" text="" dxfId="1">
      <formula>Parametros!$B$7</formula>
    </cfRule>
  </conditionalFormatting>
  <conditionalFormatting sqref="E18">
    <cfRule type="cellIs" priority="49" operator="lessThan" aboveAverage="0" equalAverage="0" bottom="0" percent="0" rank="0" text="" dxfId="1">
      <formula>Parametros!$B$7</formula>
    </cfRule>
  </conditionalFormatting>
  <conditionalFormatting sqref="E19">
    <cfRule type="cellIs" priority="50" operator="lessThan" aboveAverage="0" equalAverage="0" bottom="0" percent="0" rank="0" text="" dxfId="1">
      <formula>Parametros!$B$7</formula>
    </cfRule>
  </conditionalFormatting>
  <conditionalFormatting sqref="E20">
    <cfRule type="cellIs" priority="51" operator="lessThan" aboveAverage="0" equalAverage="0" bottom="0" percent="0" rank="0" text="" dxfId="1">
      <formula>Parametros!$B$7</formula>
    </cfRule>
  </conditionalFormatting>
  <conditionalFormatting sqref="E21">
    <cfRule type="cellIs" priority="52" operator="lessThan" aboveAverage="0" equalAverage="0" bottom="0" percent="0" rank="0" text="" dxfId="1">
      <formula>Parametros!$B$7</formula>
    </cfRule>
  </conditionalFormatting>
  <conditionalFormatting sqref="E22">
    <cfRule type="cellIs" priority="53" operator="lessThan" aboveAverage="0" equalAverage="0" bottom="0" percent="0" rank="0" text="" dxfId="1">
      <formula>Parametros!$B$7</formula>
    </cfRule>
  </conditionalFormatting>
  <conditionalFormatting sqref="E23">
    <cfRule type="cellIs" priority="54" operator="lessThan" aboveAverage="0" equalAverage="0" bottom="0" percent="0" rank="0" text="" dxfId="1">
      <formula>Parametros!$B$7</formula>
    </cfRule>
  </conditionalFormatting>
  <conditionalFormatting sqref="E24">
    <cfRule type="cellIs" priority="55" operator="lessThan" aboveAverage="0" equalAverage="0" bottom="0" percent="0" rank="0" text="" dxfId="1">
      <formula>Parametros!$B$7</formula>
    </cfRule>
  </conditionalFormatting>
  <conditionalFormatting sqref="E25">
    <cfRule type="cellIs" priority="56" operator="lessThan" aboveAverage="0" equalAverage="0" bottom="0" percent="0" rank="0" text="" dxfId="1">
      <formula>Parametros!$B$7</formula>
    </cfRule>
  </conditionalFormatting>
  <conditionalFormatting sqref="E26">
    <cfRule type="cellIs" priority="57" operator="lessThan" aboveAverage="0" equalAverage="0" bottom="0" percent="0" rank="0" text="" dxfId="1">
      <formula>Parametros!$B$7</formula>
    </cfRule>
  </conditionalFormatting>
  <conditionalFormatting sqref="E27">
    <cfRule type="cellIs" priority="58" operator="lessThan" aboveAverage="0" equalAverage="0" bottom="0" percent="0" rank="0" text="" dxfId="1">
      <formula>Parametros!$B$7</formula>
    </cfRule>
  </conditionalFormatting>
  <conditionalFormatting sqref="E28">
    <cfRule type="cellIs" priority="59" operator="lessThan" aboveAverage="0" equalAverage="0" bottom="0" percent="0" rank="0" text="" dxfId="1">
      <formula>Parametros!$B$7</formula>
    </cfRule>
  </conditionalFormatting>
  <conditionalFormatting sqref="E29">
    <cfRule type="cellIs" priority="60" operator="lessThan" aboveAverage="0" equalAverage="0" bottom="0" percent="0" rank="0" text="" dxfId="1">
      <formula>Parametros!$B$7</formula>
    </cfRule>
  </conditionalFormatting>
  <conditionalFormatting sqref="E30">
    <cfRule type="cellIs" priority="61" operator="lessThan" aboveAverage="0" equalAverage="0" bottom="0" percent="0" rank="0" text="" dxfId="1">
      <formula>Parametros!$B$7</formula>
    </cfRule>
  </conditionalFormatting>
  <conditionalFormatting sqref="E31">
    <cfRule type="cellIs" priority="62" operator="lessThan" aboveAverage="0" equalAverage="0" bottom="0" percent="0" rank="0" text="" dxfId="1">
      <formula>Parametros!$B$7</formula>
    </cfRule>
  </conditionalFormatting>
  <conditionalFormatting sqref="E32">
    <cfRule type="cellIs" priority="63" operator="lessThan" aboveAverage="0" equalAverage="0" bottom="0" percent="0" rank="0" text="" dxfId="1">
      <formula>Parametros!$B$7</formula>
    </cfRule>
  </conditionalFormatting>
  <conditionalFormatting sqref="E33">
    <cfRule type="cellIs" priority="64" operator="lessThan" aboveAverage="0" equalAverage="0" bottom="0" percent="0" rank="0" text="" dxfId="1">
      <formula>Parametros!$B$7</formula>
    </cfRule>
  </conditionalFormatting>
  <conditionalFormatting sqref="E34">
    <cfRule type="cellIs" priority="65" operator="lessThan" aboveAverage="0" equalAverage="0" bottom="0" percent="0" rank="0" text="" dxfId="1">
      <formula>Parametros!$B$7</formula>
    </cfRule>
  </conditionalFormatting>
  <conditionalFormatting sqref="E35">
    <cfRule type="cellIs" priority="66" operator="lessThan" aboveAverage="0" equalAverage="0" bottom="0" percent="0" rank="0" text="" dxfId="1">
      <formula>Parametros!$B$7</formula>
    </cfRule>
  </conditionalFormatting>
  <conditionalFormatting sqref="E36">
    <cfRule type="cellIs" priority="67" operator="lessThan" aboveAverage="0" equalAverage="0" bottom="0" percent="0" rank="0" text="" dxfId="1">
      <formula>Parametros!$B$7</formula>
    </cfRule>
  </conditionalFormatting>
  <conditionalFormatting sqref="E37">
    <cfRule type="cellIs" priority="68" operator="lessThan" aboveAverage="0" equalAverage="0" bottom="0" percent="0" rank="0" text="" dxfId="1">
      <formula>Parametros!$B$7</formula>
    </cfRule>
  </conditionalFormatting>
  <conditionalFormatting sqref="E38">
    <cfRule type="cellIs" priority="69" operator="lessThan" aboveAverage="0" equalAverage="0" bottom="0" percent="0" rank="0" text="" dxfId="1">
      <formula>Parametros!$B$7</formula>
    </cfRule>
  </conditionalFormatting>
  <conditionalFormatting sqref="H5">
    <cfRule type="cellIs" priority="70" operator="lessThan" aboveAverage="0" equalAverage="0" bottom="0" percent="0" rank="0" text="" dxfId="1">
      <formula>Parametros!$B$7</formula>
    </cfRule>
  </conditionalFormatting>
  <conditionalFormatting sqref="H6">
    <cfRule type="cellIs" priority="71" operator="lessThan" aboveAverage="0" equalAverage="0" bottom="0" percent="0" rank="0" text="" dxfId="1">
      <formula>Parametros!$B$7</formula>
    </cfRule>
  </conditionalFormatting>
  <conditionalFormatting sqref="H7">
    <cfRule type="cellIs" priority="72" operator="lessThan" aboveAverage="0" equalAverage="0" bottom="0" percent="0" rank="0" text="" dxfId="1">
      <formula>Parametros!$B$7</formula>
    </cfRule>
  </conditionalFormatting>
  <conditionalFormatting sqref="H8">
    <cfRule type="cellIs" priority="73" operator="lessThan" aboveAverage="0" equalAverage="0" bottom="0" percent="0" rank="0" text="" dxfId="1">
      <formula>Parametros!$B$7</formula>
    </cfRule>
  </conditionalFormatting>
  <conditionalFormatting sqref="H9">
    <cfRule type="cellIs" priority="74" operator="lessThan" aboveAverage="0" equalAverage="0" bottom="0" percent="0" rank="0" text="" dxfId="1">
      <formula>Parametros!$B$7</formula>
    </cfRule>
  </conditionalFormatting>
  <conditionalFormatting sqref="H10">
    <cfRule type="cellIs" priority="75" operator="lessThan" aboveAverage="0" equalAverage="0" bottom="0" percent="0" rank="0" text="" dxfId="1">
      <formula>Parametros!$B$7</formula>
    </cfRule>
  </conditionalFormatting>
  <conditionalFormatting sqref="H11">
    <cfRule type="cellIs" priority="76" operator="lessThan" aboveAverage="0" equalAverage="0" bottom="0" percent="0" rank="0" text="" dxfId="1">
      <formula>Parametros!$B$7</formula>
    </cfRule>
  </conditionalFormatting>
  <conditionalFormatting sqref="H12">
    <cfRule type="cellIs" priority="77" operator="lessThan" aboveAverage="0" equalAverage="0" bottom="0" percent="0" rank="0" text="" dxfId="1">
      <formula>Parametros!$B$7</formula>
    </cfRule>
  </conditionalFormatting>
  <conditionalFormatting sqref="H13">
    <cfRule type="cellIs" priority="78" operator="lessThan" aboveAverage="0" equalAverage="0" bottom="0" percent="0" rank="0" text="" dxfId="1">
      <formula>Parametros!$B$7</formula>
    </cfRule>
  </conditionalFormatting>
  <conditionalFormatting sqref="H14">
    <cfRule type="cellIs" priority="79" operator="lessThan" aboveAverage="0" equalAverage="0" bottom="0" percent="0" rank="0" text="" dxfId="1">
      <formula>Parametros!$B$7</formula>
    </cfRule>
  </conditionalFormatting>
  <conditionalFormatting sqref="H15">
    <cfRule type="cellIs" priority="80" operator="lessThan" aboveAverage="0" equalAverage="0" bottom="0" percent="0" rank="0" text="" dxfId="1">
      <formula>Parametros!$B$7</formula>
    </cfRule>
  </conditionalFormatting>
  <conditionalFormatting sqref="H16">
    <cfRule type="cellIs" priority="81" operator="lessThan" aboveAverage="0" equalAverage="0" bottom="0" percent="0" rank="0" text="" dxfId="1">
      <formula>Parametros!$B$7</formula>
    </cfRule>
  </conditionalFormatting>
  <conditionalFormatting sqref="H17">
    <cfRule type="cellIs" priority="82" operator="lessThan" aboveAverage="0" equalAverage="0" bottom="0" percent="0" rank="0" text="" dxfId="1">
      <formula>Parametros!$B$7</formula>
    </cfRule>
  </conditionalFormatting>
  <conditionalFormatting sqref="H18">
    <cfRule type="cellIs" priority="83" operator="lessThan" aboveAverage="0" equalAverage="0" bottom="0" percent="0" rank="0" text="" dxfId="1">
      <formula>Parametros!$B$7</formula>
    </cfRule>
  </conditionalFormatting>
  <conditionalFormatting sqref="H19">
    <cfRule type="cellIs" priority="84" operator="lessThan" aboveAverage="0" equalAverage="0" bottom="0" percent="0" rank="0" text="" dxfId="1">
      <formula>Parametros!$B$7</formula>
    </cfRule>
  </conditionalFormatting>
  <conditionalFormatting sqref="H20">
    <cfRule type="cellIs" priority="85" operator="lessThan" aboveAverage="0" equalAverage="0" bottom="0" percent="0" rank="0" text="" dxfId="1">
      <formula>Parametros!$B$7</formula>
    </cfRule>
  </conditionalFormatting>
  <conditionalFormatting sqref="H21">
    <cfRule type="cellIs" priority="86" operator="lessThan" aboveAverage="0" equalAverage="0" bottom="0" percent="0" rank="0" text="" dxfId="1">
      <formula>Parametros!$B$7</formula>
    </cfRule>
  </conditionalFormatting>
  <conditionalFormatting sqref="H22">
    <cfRule type="cellIs" priority="87" operator="lessThan" aboveAverage="0" equalAverage="0" bottom="0" percent="0" rank="0" text="" dxfId="1">
      <formula>Parametros!$B$7</formula>
    </cfRule>
  </conditionalFormatting>
  <conditionalFormatting sqref="H23">
    <cfRule type="cellIs" priority="88" operator="lessThan" aboveAverage="0" equalAverage="0" bottom="0" percent="0" rank="0" text="" dxfId="1">
      <formula>Parametros!$B$7</formula>
    </cfRule>
  </conditionalFormatting>
  <conditionalFormatting sqref="H24">
    <cfRule type="cellIs" priority="89" operator="lessThan" aboveAverage="0" equalAverage="0" bottom="0" percent="0" rank="0" text="" dxfId="1">
      <formula>Parametros!$B$7</formula>
    </cfRule>
  </conditionalFormatting>
  <conditionalFormatting sqref="H25">
    <cfRule type="cellIs" priority="90" operator="lessThan" aboveAverage="0" equalAverage="0" bottom="0" percent="0" rank="0" text="" dxfId="1">
      <formula>Parametros!$B$7</formula>
    </cfRule>
  </conditionalFormatting>
  <conditionalFormatting sqref="H26">
    <cfRule type="cellIs" priority="91" operator="lessThan" aboveAverage="0" equalAverage="0" bottom="0" percent="0" rank="0" text="" dxfId="1">
      <formula>Parametros!$B$7</formula>
    </cfRule>
  </conditionalFormatting>
  <conditionalFormatting sqref="H27">
    <cfRule type="cellIs" priority="92" operator="lessThan" aboveAverage="0" equalAverage="0" bottom="0" percent="0" rank="0" text="" dxfId="1">
      <formula>Parametros!$B$7</formula>
    </cfRule>
  </conditionalFormatting>
  <conditionalFormatting sqref="H28">
    <cfRule type="cellIs" priority="93" operator="lessThan" aboveAverage="0" equalAverage="0" bottom="0" percent="0" rank="0" text="" dxfId="1">
      <formula>Parametros!$B$7</formula>
    </cfRule>
  </conditionalFormatting>
  <conditionalFormatting sqref="H29">
    <cfRule type="cellIs" priority="94" operator="lessThan" aboveAverage="0" equalAverage="0" bottom="0" percent="0" rank="0" text="" dxfId="1">
      <formula>Parametros!$B$7</formula>
    </cfRule>
  </conditionalFormatting>
  <conditionalFormatting sqref="H30">
    <cfRule type="cellIs" priority="95" operator="lessThan" aboveAverage="0" equalAverage="0" bottom="0" percent="0" rank="0" text="" dxfId="1">
      <formula>Parametros!$B$7</formula>
    </cfRule>
  </conditionalFormatting>
  <conditionalFormatting sqref="H31">
    <cfRule type="cellIs" priority="96" operator="lessThan" aboveAverage="0" equalAverage="0" bottom="0" percent="0" rank="0" text="" dxfId="1">
      <formula>Parametros!$B$7</formula>
    </cfRule>
  </conditionalFormatting>
  <conditionalFormatting sqref="H32">
    <cfRule type="cellIs" priority="97" operator="lessThan" aboveAverage="0" equalAverage="0" bottom="0" percent="0" rank="0" text="" dxfId="1">
      <formula>Parametros!$B$7</formula>
    </cfRule>
  </conditionalFormatting>
  <conditionalFormatting sqref="H33">
    <cfRule type="cellIs" priority="98" operator="lessThan" aboveAverage="0" equalAverage="0" bottom="0" percent="0" rank="0" text="" dxfId="1">
      <formula>Parametros!$B$7</formula>
    </cfRule>
  </conditionalFormatting>
  <conditionalFormatting sqref="H34">
    <cfRule type="cellIs" priority="99" operator="lessThan" aboveAverage="0" equalAverage="0" bottom="0" percent="0" rank="0" text="" dxfId="1">
      <formula>Parametros!$B$7</formula>
    </cfRule>
  </conditionalFormatting>
  <conditionalFormatting sqref="H35">
    <cfRule type="cellIs" priority="100" operator="lessThan" aboveAverage="0" equalAverage="0" bottom="0" percent="0" rank="0" text="" dxfId="1">
      <formula>Parametros!$B$7</formula>
    </cfRule>
  </conditionalFormatting>
  <conditionalFormatting sqref="H36">
    <cfRule type="cellIs" priority="101" operator="lessThan" aboveAverage="0" equalAverage="0" bottom="0" percent="0" rank="0" text="" dxfId="1">
      <formula>Parametros!$B$7</formula>
    </cfRule>
  </conditionalFormatting>
  <conditionalFormatting sqref="H37">
    <cfRule type="cellIs" priority="102" operator="lessThan" aboveAverage="0" equalAverage="0" bottom="0" percent="0" rank="0" text="" dxfId="1">
      <formula>Parametros!$B$7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251</v>
      </c>
    </row>
    <row r="2" customFormat="false" ht="15" hidden="false" customHeight="false" outlineLevel="0" collapsed="false">
      <c r="A2" s="2" t="s">
        <v>252</v>
      </c>
    </row>
    <row r="4" customFormat="false" ht="15" hidden="false" customHeight="false" outlineLevel="0" collapsed="false">
      <c r="A4" s="7" t="s">
        <v>253</v>
      </c>
      <c r="B4" s="7" t="s">
        <v>254</v>
      </c>
      <c r="C4" s="7" t="s">
        <v>255</v>
      </c>
    </row>
    <row r="5" customFormat="false" ht="15" hidden="false" customHeight="false" outlineLevel="0" collapsed="false">
      <c r="A5" s="14" t="s">
        <v>256</v>
      </c>
      <c r="B5" s="31" t="n">
        <v>1</v>
      </c>
      <c r="C5" s="8" t="s">
        <v>257</v>
      </c>
    </row>
    <row r="6" customFormat="false" ht="15" hidden="false" customHeight="false" outlineLevel="0" collapsed="false">
      <c r="A6" s="14" t="s">
        <v>258</v>
      </c>
      <c r="B6" s="31" t="n">
        <v>7</v>
      </c>
      <c r="C6" s="8" t="s">
        <v>257</v>
      </c>
    </row>
    <row r="7" customFormat="false" ht="15" hidden="false" customHeight="false" outlineLevel="0" collapsed="false">
      <c r="A7" s="14" t="s">
        <v>259</v>
      </c>
      <c r="B7" s="31" t="n">
        <v>4</v>
      </c>
      <c r="C7" s="8" t="s">
        <v>260</v>
      </c>
    </row>
    <row r="8" customFormat="false" ht="23.85" hidden="false" customHeight="false" outlineLevel="0" collapsed="false">
      <c r="A8" s="14" t="s">
        <v>261</v>
      </c>
      <c r="B8" s="32" t="n">
        <v>0.6</v>
      </c>
      <c r="C8" s="8" t="s">
        <v>262</v>
      </c>
    </row>
    <row r="9" customFormat="false" ht="15" hidden="false" customHeight="false" outlineLevel="0" collapsed="false">
      <c r="A9" s="14" t="s">
        <v>263</v>
      </c>
      <c r="B9" s="33" t="n">
        <v>4</v>
      </c>
      <c r="C9" s="8" t="s">
        <v>264</v>
      </c>
    </row>
    <row r="10" customFormat="false" ht="15" hidden="false" customHeight="false" outlineLevel="0" collapsed="false">
      <c r="A10" s="14" t="s">
        <v>265</v>
      </c>
      <c r="B10" s="32" t="n">
        <v>0.5</v>
      </c>
      <c r="C10" s="8" t="s">
        <v>266</v>
      </c>
    </row>
    <row r="11" customFormat="false" ht="15" hidden="false" customHeight="false" outlineLevel="0" collapsed="false">
      <c r="A11" s="14" t="s">
        <v>267</v>
      </c>
      <c r="B11" s="32" t="n">
        <v>0.5</v>
      </c>
      <c r="C11" s="8" t="s">
        <v>268</v>
      </c>
    </row>
    <row r="12" customFormat="false" ht="15" hidden="false" customHeight="false" outlineLevel="0" collapsed="false">
      <c r="A12" s="14" t="s">
        <v>269</v>
      </c>
      <c r="B12" s="31" t="n">
        <v>5</v>
      </c>
      <c r="C12" s="8" t="s">
        <v>270</v>
      </c>
    </row>
    <row r="13" customFormat="false" ht="15" hidden="false" customHeight="false" outlineLevel="0" collapsed="false">
      <c r="A13" s="14" t="s">
        <v>271</v>
      </c>
      <c r="B13" s="31" t="n">
        <v>5</v>
      </c>
      <c r="C13" s="8" t="s">
        <v>272</v>
      </c>
    </row>
    <row r="14" customFormat="false" ht="15" hidden="false" customHeight="false" outlineLevel="0" collapsed="false">
      <c r="A14" s="14" t="s">
        <v>273</v>
      </c>
      <c r="B14" s="32" t="n">
        <v>0.9</v>
      </c>
      <c r="C14" s="8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2026-10-13T00:18:03Z</dcterms:created>
  <dc:creator>openpyxl</dc:creator>
  <dc:description/>
  <dc:language>en-US</dc:language>
  <cp:lastModifiedBy/>
  <dcterms:modified xsi:type="dcterms:W3CDTF">2026-10-13T00:18:03Z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